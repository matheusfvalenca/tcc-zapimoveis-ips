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que\Downloads\"/>
    </mc:Choice>
  </mc:AlternateContent>
  <xr:revisionPtr revIDLastSave="0" documentId="13_ncr:1_{3EC5C0A9-8364-4ADD-930E-5AAA557D09F4}" xr6:coauthVersionLast="47" xr6:coauthVersionMax="47" xr10:uidLastSave="{00000000-0000-0000-0000-000000000000}"/>
  <bookViews>
    <workbookView xWindow="-108" yWindow="-108" windowWidth="23256" windowHeight="12456" activeTab="1" xr2:uid="{00000000-000D-0000-FFFF-FFFF00000000}"/>
  </bookViews>
  <sheets>
    <sheet name="Metodologia" sheetId="1" r:id="rId1"/>
    <sheet name="Dimensões e Componentes 2024" sheetId="11" r:id="rId2"/>
    <sheet name="Indicadores - 2024" sheetId="12" r:id="rId3"/>
    <sheet name="Plan1" sheetId="13" state="hidden" r:id="rId4"/>
    <sheet name="ESRI_MAPINFO_SHEET" sheetId="14"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33" i="13" l="1"/>
  <c r="BB32" i="13"/>
  <c r="BB31" i="13"/>
  <c r="BB30" i="13"/>
  <c r="BB29" i="13"/>
  <c r="BB28" i="13"/>
  <c r="BB27" i="13"/>
  <c r="BB26" i="13"/>
  <c r="BB25" i="13"/>
  <c r="BB24" i="13"/>
  <c r="BB23" i="13"/>
  <c r="BB22" i="13"/>
  <c r="BB21" i="13"/>
  <c r="BB20" i="13"/>
  <c r="BB19" i="13"/>
  <c r="BB18" i="13"/>
  <c r="BB17" i="13"/>
  <c r="BB16" i="13"/>
  <c r="BB15" i="13"/>
  <c r="BB14" i="13"/>
  <c r="BB13" i="13"/>
  <c r="BB12" i="13"/>
  <c r="BB11" i="13"/>
  <c r="BB10" i="13"/>
  <c r="BB9" i="13"/>
  <c r="BB8" i="13"/>
  <c r="BB7" i="13"/>
  <c r="BB6" i="13"/>
  <c r="BB5" i="13"/>
  <c r="BB4" i="13"/>
  <c r="BB3" i="13"/>
  <c r="BB2" i="13"/>
</calcChain>
</file>

<file path=xl/sharedStrings.xml><?xml version="1.0" encoding="utf-8"?>
<sst xmlns="http://schemas.openxmlformats.org/spreadsheetml/2006/main" count="381" uniqueCount="259">
  <si>
    <t>DATA.RIO</t>
  </si>
  <si>
    <t>Região 
Administrativa</t>
  </si>
  <si>
    <t>Mortalidade na infância</t>
  </si>
  <si>
    <t>Baixo peso ao nascer</t>
  </si>
  <si>
    <t>Mortalidade materna</t>
  </si>
  <si>
    <t>Internações infantis por crise respiratória aguda</t>
  </si>
  <si>
    <t>Acesso à água canalizada</t>
  </si>
  <si>
    <t>Acesso a esgotamento sanitário</t>
  </si>
  <si>
    <t>Acesso a banheiro</t>
  </si>
  <si>
    <t>População vivendo em
Favelas não-urbanizadas</t>
  </si>
  <si>
    <t>Acesso à energia elétrica</t>
  </si>
  <si>
    <t>Adensamento habitacional
excessivo</t>
  </si>
  <si>
    <t>Taxa de homicídios</t>
  </si>
  <si>
    <t>Roubos de rua</t>
  </si>
  <si>
    <t>Alfabetização</t>
  </si>
  <si>
    <t>Qualidade do Ensino Fundamental, anos iniciais</t>
  </si>
  <si>
    <t>Qualidade do Ensino Fundamental, anos finais</t>
  </si>
  <si>
    <t>Abandono escolar no Ensino Médio</t>
  </si>
  <si>
    <t>Acesso à telefone celular ou fixo</t>
  </si>
  <si>
    <t>Acesso a internet</t>
  </si>
  <si>
    <t xml:space="preserve">Mortalidade por doenças crônicas
</t>
  </si>
  <si>
    <t>Incidência de dengue</t>
  </si>
  <si>
    <t>Mortalidade por tuberculose e HIV</t>
  </si>
  <si>
    <t>Coleta seletiva de lixo</t>
  </si>
  <si>
    <t>Degradação de áreas verdes</t>
  </si>
  <si>
    <t>Mobilidade urbana</t>
  </si>
  <si>
    <t>Homicídios por ação policial</t>
  </si>
  <si>
    <t>Tempo médio de deslocamento</t>
  </si>
  <si>
    <t>Participação política</t>
  </si>
  <si>
    <t>Gravidez na adolescência</t>
  </si>
  <si>
    <t>Trabalho infantil</t>
  </si>
  <si>
    <t>Índice de acesso à cultura</t>
  </si>
  <si>
    <t>Violência contra a mulher</t>
  </si>
  <si>
    <t>Homicídios de jovens negros</t>
  </si>
  <si>
    <t>Vulnerabilidade familiar</t>
  </si>
  <si>
    <t>Pessoas com Ensino Superior</t>
  </si>
  <si>
    <t>Negros e indígenas com Ensino Superior</t>
  </si>
  <si>
    <t>Regiões Administrativas</t>
  </si>
  <si>
    <t>Índice de Progresso Social - geral</t>
  </si>
  <si>
    <t>Frequência ao Ensino Superior</t>
  </si>
  <si>
    <t>Necessidades Humanas Básicas</t>
  </si>
  <si>
    <t>ÍNDICE DE PROGRESSO SOCIAL  DA CIDADE DO RIO DE JANEIRO</t>
  </si>
  <si>
    <t>RIO DE JANEIRO</t>
  </si>
  <si>
    <t>Fundamentos do Bem-Estar</t>
  </si>
  <si>
    <t>Oportunidades</t>
  </si>
  <si>
    <t>I PORTUARIA</t>
  </si>
  <si>
    <t>Nota da dimensão</t>
  </si>
  <si>
    <t>II CENTRO</t>
  </si>
  <si>
    <t>Nutrição e cuidados médicos básicos</t>
  </si>
  <si>
    <t>Água e saneamento</t>
  </si>
  <si>
    <t>Moradia</t>
  </si>
  <si>
    <t>Segurança pessoal</t>
  </si>
  <si>
    <t>Acesso ao conhecimento básico</t>
  </si>
  <si>
    <t>Acesso à informação</t>
  </si>
  <si>
    <t>Saúde e bem-estar</t>
  </si>
  <si>
    <t>Qualidade do meio ambiente</t>
  </si>
  <si>
    <t>Direitos individuais</t>
  </si>
  <si>
    <t>Liberdades individuais</t>
  </si>
  <si>
    <t>Tolerância e inclusão</t>
  </si>
  <si>
    <t>III RIO COMPRIDO</t>
  </si>
  <si>
    <t>IV BOTAFOGO</t>
  </si>
  <si>
    <t>O IPS é formado por 36 indicadores que estão dispostos em 12 componentes, igualmente distribuídos dentro de 3 dimensões. Os indicadores foram construídos com dados administrativos municipais, estaduais e federais e do Censo Demográfico. Ver esquema abaixo.</t>
  </si>
  <si>
    <t>V COPACABANA</t>
  </si>
  <si>
    <t>VI LAGOA</t>
  </si>
  <si>
    <t>VII SÃO CRISTOVÃO</t>
  </si>
  <si>
    <t>VIII TIJUCA</t>
  </si>
  <si>
    <t>IX VILA ISABEL</t>
  </si>
  <si>
    <t>X RAMOS</t>
  </si>
  <si>
    <t>XI PENHA</t>
  </si>
  <si>
    <t>XII INHAÚMA</t>
  </si>
  <si>
    <t>XIII MÉIER</t>
  </si>
  <si>
    <t>XIV IRAJA</t>
  </si>
  <si>
    <t>XV MADUREIRA</t>
  </si>
  <si>
    <t>XVI JACAREPAGUÁ</t>
  </si>
  <si>
    <t>INDICADORES</t>
  </si>
  <si>
    <t>XVII BANGU</t>
  </si>
  <si>
    <t>DEFINIÇÃO</t>
  </si>
  <si>
    <t>XVIII CAMPO GRANDE</t>
  </si>
  <si>
    <t>FONTE</t>
  </si>
  <si>
    <t xml:space="preserve">ANO DOS DADOS </t>
  </si>
  <si>
    <t>XIX SANTA CRUZ</t>
  </si>
  <si>
    <t>XX ILHA DO GOVERNADOR</t>
  </si>
  <si>
    <t>XXII ANCHIETA</t>
  </si>
  <si>
    <t>IPS 2016</t>
  </si>
  <si>
    <t>IPS 2018</t>
  </si>
  <si>
    <t>XXIII SANTA TERESA</t>
  </si>
  <si>
    <t>IPS 2020</t>
  </si>
  <si>
    <t>XXIV BARRA DA TIJUCA</t>
  </si>
  <si>
    <t>XXV PAVUNA</t>
  </si>
  <si>
    <t>XXVI GUARATIBA</t>
  </si>
  <si>
    <t>XXVII ROCINHA</t>
  </si>
  <si>
    <t>XXVIII JACAREZINHO</t>
  </si>
  <si>
    <r>
      <rPr>
        <sz val="10"/>
        <color rgb="FF000000"/>
        <rFont val="Arial"/>
        <family val="2"/>
      </rPr>
      <t xml:space="preserve">1. </t>
    </r>
    <r>
      <rPr>
        <b/>
        <sz val="10"/>
        <color rgb="FF000000"/>
        <rFont val="Arial"/>
        <family val="2"/>
      </rPr>
      <t>Mortalidade Infantil</t>
    </r>
    <r>
      <rPr>
        <sz val="10"/>
        <color rgb="FF000000"/>
        <rFont val="Arial"/>
        <family val="2"/>
      </rPr>
      <t xml:space="preserve">: </t>
    </r>
  </si>
  <si>
    <t>XXIX COMPLEXO DO ALEMÃO</t>
  </si>
  <si>
    <t>Óbitos de crianças de 0 a 5 anos por 1.000 nascidos vivos. O número de óbitos foi obtido por meio do Sistema de Informações sobre Mortalidade do Sistema de Informações em Saúde da Secretaria Municipal de Saúde do Município do Rio de Janeiro (SMS-RJ). O número de nascidos vivos foi obtido por meio do Sistema de Informação de Nascidos Vivos, da mesma base de dados da SMS-RJ.</t>
  </si>
  <si>
    <t>DataSus</t>
  </si>
  <si>
    <t>XXX MARÉ</t>
  </si>
  <si>
    <t>XXXI VIGÁRIO GERAL</t>
  </si>
  <si>
    <t>2. Baixo Peso ao Nascer:</t>
  </si>
  <si>
    <t>XXXIII REALENGO</t>
  </si>
  <si>
    <t xml:space="preserve">Proporção de nascidos vivos que, na primeira pesagem (preferencialmente, durante a primeira hora de vida), tinham peso inferior a 2.500 quilogramas. O número de nascimentos abaixo do peso e o total de nascidos vivos foram obtidos pelo Sistema de Informação de Nascidos Vivos do Sistema de informação em Saúde da SMS-RJ. </t>
  </si>
  <si>
    <t>XXXIV CIDADE DE DEUS</t>
  </si>
  <si>
    <t>3. Mortalidade Materna:</t>
  </si>
  <si>
    <t>Óbitos de mulheres ocorridos até 42 dias após o término da gravidez, atribuídos a causas ligadas a gravidez, parto, e puerpério, em relação ao total de nascidos vivos. O número de óbitos de mulheres por essas causas foi obtido pelo Sistema de Informações sobre Mortalidade do Sistema de Informações em Saúde da SMS-RJ. O número de nascidos vivos foi obtido pelo Sistema de Informação de Nascidos Vivos, da mesma base de dados da SMS-RJ.</t>
  </si>
  <si>
    <t>4. Internações Infantis por Crise Respiratória:</t>
  </si>
  <si>
    <t>Taxa de internações de crianças por infecção respiratória aguda (pneumonias, sinusites, faringoamigdalites e resfriados comuns). O número de internações foi  em 2016 fornecido pela Secretaria Municipal de Saúde do Rio; e em 2018, foi calculado pela Rio como Vamos, com base na mesma fonte. O número de crianças, para 2016,  foi obtido pelo Censo Demográfico 2010.</t>
  </si>
  <si>
    <t>SMS</t>
  </si>
  <si>
    <t>5. Acesso à Água Canalizada:</t>
  </si>
  <si>
    <t>Proporção de domicílios cuja forma de abastecimento de água é a rede geral de distribuição. A forma de abastecimento de água e o número total de domicílios foram obtidos dos resultados do Censo Demográfico de 2010 – Questionário Básico.</t>
  </si>
  <si>
    <t>Censo Demográfico</t>
  </si>
  <si>
    <t>6. Acesso a Esgotamento Sanitário:</t>
  </si>
  <si>
    <t xml:space="preserve">Fontes e anos dos dados: Ver metodologia. </t>
  </si>
  <si>
    <t>Proporção de domicílios cujo esgoto do banheiro ou sanitário é lançado na rede geral de esgoto ou pluvial. O local de lançamento do esgoto e o número total de domicílios foram obtidos dos resultados do Censo Demográfico 2010 – Questionário Básico.</t>
  </si>
  <si>
    <t>7. Acesso a Banheiro:</t>
  </si>
  <si>
    <t>Proporção de domicílios com pelo menos um banheiro. O número de banheiros por domicílio, assim como número total de domicílios, foram obtidos dos resultados do Censo Demográfico 2010 – Questionário Básico.</t>
  </si>
  <si>
    <t>8. Pessoas Vivendo em Favelas NãoUrbanizadas:</t>
  </si>
  <si>
    <t>proporção da população total da RA vivendo em favelas não urbanizadas. Os dados sobre a população total das regiões e o número de habitantes das favelas vêm do Censo Demográfico 2010. A informação sobre quais favelas foram urbanizadas vem do Sistema de Assentamentos de Baixa Renda (SABREN) do Instituto Pereira Passos.</t>
  </si>
  <si>
    <t>IPP</t>
  </si>
  <si>
    <t>9. Acesso à Energia Elétrica:</t>
  </si>
  <si>
    <t>proporção de domicílios nos quais há energia elétrica de companhia distribuidora. A existência de energia elétrica formal e o número total de domicílios foram obtidos dos resultados do Censo Demográfico 2010 – Questionário Básico.</t>
  </si>
  <si>
    <t>10. Adensamento Habitacional Excessivo:</t>
  </si>
  <si>
    <t>proporção de domicílios com mais de três moradores por dormitório. O número de domicílios nessas condições foi obtido por meio dos resultados do Censo Demográfico 2010 – Questionário da Amostra, por Área de Ponderação, e depois reorganizado por RA.</t>
  </si>
  <si>
    <t>11. Taxa de Homicídios:</t>
  </si>
  <si>
    <t>número de óbitos por homicídio, latrocínio e lesão corporal seguida de morte por 100.000 habitantes. Número de óbitos foi obtido por meio dos boletins de divulgação mensal do Instituto de Segurança Pública do Estado do Rio de Janeiro (ISP), enquanto o número de habitantes foi obtido dos resultados do Censo Demográfico 2010.</t>
  </si>
  <si>
    <t>ISP</t>
  </si>
  <si>
    <t>12. Roubos de Rua:</t>
  </si>
  <si>
    <t>taxas de ocorrências de roubo a transeunte, roubo de aparelho celular e roubo em coletivo por 1.000 habitantes. Número de ocorrências foi obtido por meio dos boletins de divulgação mensal do ISP, enquanto o número de habitantes foi obtido dos resultados do Censo Demográfico 2010.</t>
  </si>
  <si>
    <t>13. Alfabetização:</t>
  </si>
  <si>
    <t>Proporção de crianças alfabetizadas até o terceiro ano do Ensino Fundamental em escolas públicas. Crianças alfabetizadas são as que têm nota acima do nível 2 na Avaliação Nacional de Alfabetização (ANA) do Instituto Nacional de Estudos e Pesquisas Educacionais Anísio Teixeira (INEP), em relação ao número total de crianças da rede pública de ensino do Município do Rio de Janeiro que participaram da ANA.</t>
  </si>
  <si>
    <t>ANA</t>
  </si>
  <si>
    <t>14. Qualidade do Ensino Fundamental, anos iniciais:</t>
  </si>
  <si>
    <t>Nota média no Índice de Desenvolvimento da Educação Básica (IDEB) do INEP para os anos iniciais. A nota por RA foi agregada pela média das escolas  públicas e ponderada pelo número de alunos.</t>
  </si>
  <si>
    <t>IDEB</t>
  </si>
  <si>
    <t>15. Qualidade do Ensino Fundamental, anos finais:</t>
  </si>
  <si>
    <t xml:space="preserve">Nota média no IDEB para os anos finais. A nota por RA agregada pela média das escolas públicas e ponderada pelo número de alunos de cada escola. </t>
  </si>
  <si>
    <t>16. Abandono Escolar no Ensino Médio:</t>
  </si>
  <si>
    <t>Proporção dos alunos do Ensino Médio em instituições públicas de ensino na cidade do Rio de Janeiro que abandonaram a escola. O número de alunos que abandonaram a escola e o número total de alunos foram obtidos por meio do Censo da Educação Básica do INEP</t>
  </si>
  <si>
    <t>Censo Escolar INEP</t>
  </si>
  <si>
    <t>17. Acesso a Telefone Celular ou Fixo:</t>
  </si>
  <si>
    <t>Proporção de domicílios com telefone celular ou fixo. O Número de domicílios que têm telefone, celular ou fixo, e o número total de domicílios foram obtidos dos resultados do Censo Demográfico 2010 – Questionário da Amostra, por Área de Ponderação, e depois reorganizados por RA.</t>
  </si>
  <si>
    <t>18. Acesso à internet:</t>
  </si>
  <si>
    <t>Proporção de domicílios com acesso à internet. Número de domicílios com microcomputador com acesso à internet, e o número total de domicílios foram obtidos dos resultados do Censo Demográfico 2010 – Questionário da Amostra, por Área de Ponderação, e depois reorganizados por RA.</t>
  </si>
  <si>
    <t>19. Mortalidade por Doenças Crônicas:</t>
  </si>
  <si>
    <t>Taxa de mortalidade por doenças crônicas não transmissíveis antes dos 70 anos por 100.000 habitantes. O número de mortes foi obtido por meio do Sistema de Informações sobre Mortalidade do Sistema de Informações em Saúde da SMS-RJ, enquanto o número de habitantes com menos de 70 anos foi obtido nos resultados do Censo Demográfico 2010.</t>
  </si>
  <si>
    <t xml:space="preserve">20. Incidência de Dengue: </t>
  </si>
  <si>
    <t>Taxa de incidência de dengue por 100.000 habitantes. O número de casos notificados de dengue foi obtido no Sistema Nacional de Agravos Notificáveis do Sistema de Informações em Saúde da SMS-RJ, enquanto o número de habitantes foi obtido dos resultados do Censo Demográfico 2010.</t>
  </si>
  <si>
    <t>21. Mortalidade por Tuberculose e HIV:</t>
  </si>
  <si>
    <t>Taxa de mortalidade por tuberculose ou causas associadas ao HIV por 100.000 habitantes. O número de óbitos por tuberculose ou causas associadas ao HIV foi obtido por meio do Sistema de Informações sobre Mortalidade do Sistema de Informações em Saúde da SMS-RJ, enquanto o número de habitantes foi obtido dos resultados do Censo Demográfico 2010.</t>
  </si>
  <si>
    <t>22. Coleta Seletiva de Lixo:</t>
  </si>
  <si>
    <t>Proporção do lixo potencialmente reciclável recolhido pela Coleta Seletiva Domiciliar. Os dados de potencial reciclado e resíduo sólido coletado foram fornecidos para a elaboração do IPS pela Companhia Municipal de Limpeza Urbana (COMLURB).</t>
  </si>
  <si>
    <t>Comlurb</t>
  </si>
  <si>
    <t>23. Degradação de Áreas Verdes:</t>
  </si>
  <si>
    <t>Diferença entre o tamanho da área coberta por vegetação arbóreo-arbustiva e gramíneo-lenhosa no ano de referência do IPS e o da área de mesmo tipo em 2013. O tamanho das áreas cobertas por vegetação no período foi calculado com base no Mapa de Uso do Solo do Instituto Pereira Passos</t>
  </si>
  <si>
    <t>24. Mobilidade Urbana:</t>
  </si>
  <si>
    <t>Proporção da população que vive em um raio de 1 km de uma estação de acesso a um meio de transporte de massa (metrô, trem, BRT e VLT). O índice foi calculado pelo Instituto de Políticas de Transporte e Desenvolvimento (ITDP) com base nas estimativas populacionais do Censo Demográfico de 2010 e da geolocalização das estações dos meios de transporte de massa do Instituto Pereira Passos.</t>
  </si>
  <si>
    <t>ITDP</t>
  </si>
  <si>
    <t>25. Homicídios por Ação Policial:</t>
  </si>
  <si>
    <t>Taxa de homicídios por intervenção policial por 100.000 habitantes. O número de óbitos foi obtido por meio dos boletins de divulgação mensal do Instituto de Segurança Pública do Estado do Rio de Janeiro (ISP), enquanto o número de habitantes foi obtido nos resultados do Censo Demográfico 2010.</t>
  </si>
  <si>
    <t>26. Tempo Médio de Deslocamento:</t>
  </si>
  <si>
    <t>Tempo médio, em minutos, gasto no deslocamento entre residência e atividade principal. A estimativa foi feita com base nos dados do Plano Diretor de Transporte Urbano (PDTU) de 2012 do governo do estado do Rio de Janeiro.</t>
  </si>
  <si>
    <t>PDTU</t>
  </si>
  <si>
    <t>27. Participação Política:</t>
  </si>
  <si>
    <t>Taxa de participação nas últimas eleições federais e municipais com dados disponíveis. O número de votantes, por zona eleitoral, nas duas eleições e o número de eleitores aptos para votar foram fornecidos pelo Tribunal Superior Eleitoral (TSE).</t>
  </si>
  <si>
    <t>TSE</t>
  </si>
  <si>
    <t>2014/2012</t>
  </si>
  <si>
    <t>2014/2016</t>
  </si>
  <si>
    <t>2016/2018</t>
  </si>
  <si>
    <t>28. Gravidez na Adolescência:</t>
  </si>
  <si>
    <t>Proporção de nascidos vivos com mães de até 19 anos. O número total de nascidos vivos e o número de nascidos vivos com mãe de até 19 anos foram obtidos por meio do Sistema de Informação de Nascidos Vivos do Sistema de informação em Saúde da SMS-RJ.</t>
  </si>
  <si>
    <t>29. Trabalho Infantil:</t>
  </si>
  <si>
    <t>Crianças ou adolescentes exercendo atividades laborais por 100.000 habitantes. Os dados foram obtidos por meio do Cadastro Único para programas sociais do governo federal, geolocalizado para o cálculo do IPS pela Secretaria Municipal do Desenvolvimento Social do município do Rio de Janeiro (SMDS). O número de habitantes foi obtido dos resultados do Censo Demográfico 2010.</t>
  </si>
  <si>
    <t>CadÚnico</t>
  </si>
  <si>
    <t>30. Índice de Acesso à Cultura:</t>
  </si>
  <si>
    <t>índice calculado pelo IPP para a produção do IPS. O índice considera o número de equipamentos culturais municipais, o número de ações e eventos culturais da prefeitura, além da capacidade das salas privadas de cinema, todos em relação à população da Região Administrativa. As informações foram fornecidas pela Secretaria Municipal de Cultura do município do Rio de Janeiro.</t>
  </si>
  <si>
    <t>SMC</t>
  </si>
  <si>
    <t>31. Violência Contra a Mulher:</t>
  </si>
  <si>
    <t>Taxas de crimes de violência física e sexual contra mulheres por 100.000 habitantes. O número de ocorrências de crimes de violência física (homicídio doloso, tentativa de homicídio e lesão corporal dolosa) e violência sexual (estupro e tentativa de estupro) contra mulheres foi obtido por meio de dados trabalhados a partir da publicação Dossiê Mulher do ISP, enquanto o número de habitantes foi obtido dos resultados do Censo Demográfico 2010.</t>
  </si>
  <si>
    <t>32. Homicídios de Jovens Negros:</t>
  </si>
  <si>
    <t>Taxa de homicídios de jovens (até 26 anos) pretos e pardos por 100.000 habitantes. O número de óbitos de jovens negros foi calculado para a construção do IPS pelo ISP, enquanto o número de habitantes foi obtido nos resultados do Censo Demográfico 2010.</t>
  </si>
  <si>
    <t>33. Vulnerabilidade Familiar:</t>
  </si>
  <si>
    <t>Proporção de domicílios com mulher com ensino fundamental incompleto como responsável e filho(s) menor(es) de 10 anos ou economicamente inativo(s). O número de domicílios com essas características e número total de domicílios foram obtidos dos resultados do Censo Demográfico 2010 – Questionário da Amostra, por Área de Ponderação, e depois reorganizados por RA.</t>
  </si>
  <si>
    <t>34. Pessoas com Ensino Superior:</t>
  </si>
  <si>
    <t>Proporção da população de 25 anos ou mais que completou Ensino Superior. Os dados de escolaridade e tamanho da população de 25 anos ou mais foram obtidos dos resultados do Censo Demográfico 2010 – Questionário da Amostra, por Área de Ponderação, e depois reorganizados por RA.</t>
  </si>
  <si>
    <t>35. Negros e Indígenas com Ensino Superior:</t>
  </si>
  <si>
    <t>Proporção da população que se autoidentifica como preta, parda ou indígena com idade igual ou superior a 25 anos que completou o Ensino Superior. Os dados de escolaridade desse grupo populacional e seu tamanho foram obtidos dos resultados do Censo Demográfico 2010 – Questionário da Amostra, por Área de Ponderação, e depois reorganizados por RA.</t>
  </si>
  <si>
    <t>36. Frequência ao Ensino Superior:</t>
  </si>
  <si>
    <t>Proporção da população com idade entre 18 e 24 anos que frequenta ou concluiu o Ensino Superior. Os dados de escolaridade desse grupo populacional e seu tamanho foram obtidos dos resultados do Censo Demográfico 2010 – Questionário da Amostra, por Área de Ponderação, e depois reorganizados por RA.</t>
  </si>
  <si>
    <r>
      <rPr>
        <b/>
        <sz val="11"/>
        <color rgb="FF000000"/>
        <rFont val="Arial Narrow"/>
        <family val="2"/>
      </rPr>
      <t xml:space="preserve"> </t>
    </r>
    <r>
      <rPr>
        <sz val="14"/>
        <color rgb="FF000000"/>
        <rFont val="Arial Narrow"/>
        <family val="2"/>
      </rPr>
      <t>Cálculo do Índice</t>
    </r>
  </si>
  <si>
    <t>O processo de construção do índice se deu através de uma análise e tratamento rigorosos das variáveis selecionadas, dividido em etapas:</t>
  </si>
  <si>
    <r>
      <rPr>
        <b/>
        <sz val="11"/>
        <color rgb="FF000000"/>
        <rFont val="Arial Narrow"/>
        <family val="2"/>
      </rPr>
      <t xml:space="preserve">1.       Vetorização da série de dados: </t>
    </r>
    <r>
      <rPr>
        <sz val="11"/>
        <color rgb="FF000000"/>
        <rFont val="Arial Narrow"/>
        <family val="2"/>
      </rPr>
      <t>Uma vez que os indicadores nem sempre apontam para uma mesma direção, é necessária a inversão de alguns indicadores para que valores mais altos reflitam sempre mais progresso social. Ao todo, foram invertidos 14 indicadores.</t>
    </r>
  </si>
  <si>
    <r>
      <rPr>
        <b/>
        <sz val="11"/>
        <color rgb="FF000000"/>
        <rFont val="Arial Narrow"/>
        <family val="2"/>
      </rPr>
      <t xml:space="preserve">2.       Normalização da série de dados: </t>
    </r>
    <r>
      <rPr>
        <sz val="11"/>
        <color rgb="FF000000"/>
        <rFont val="Arial Narrow"/>
        <family val="2"/>
      </rPr>
      <t xml:space="preserve">Transformação da série em uma distribuição normal padrão, subtraindo-se média da série (µ) e dividindo pelo desvio padrão, onde xij é o valor da observação da variável j para a comunidade i. </t>
    </r>
  </si>
  <si>
    <r>
      <rPr>
        <b/>
        <sz val="11"/>
        <color rgb="FF000000"/>
        <rFont val="Arial Narrow"/>
        <family val="2"/>
      </rPr>
      <t xml:space="preserve">3.       Análise de consistência interna: </t>
    </r>
    <r>
      <rPr>
        <sz val="11"/>
        <color rgb="FF000000"/>
        <rFont val="Arial Narrow"/>
        <family val="2"/>
      </rPr>
      <t>Feita entre indicadores padronizados dentro de cada componente, por meio da medida de covariância de Alpha de Cronbach, buscando-se coeficientes de Alpha acima de 0.7</t>
    </r>
  </si>
  <si>
    <r>
      <rPr>
        <b/>
        <sz val="11"/>
        <color rgb="FF000000"/>
        <rFont val="Arial Narrow"/>
        <family val="2"/>
      </rPr>
      <t xml:space="preserve">4.       Distribuição de pesos: </t>
    </r>
    <r>
      <rPr>
        <sz val="11"/>
        <color rgb="FF000000"/>
        <rFont val="Arial Narrow"/>
        <family val="2"/>
      </rPr>
      <t>Calculou-se um peso wj para cada vetor (variável) j pertencente a determinado componente, por meio de análise fatorial das variáveis de cada componente, utilizando-se somente a primeira carga fatorial atribuída a cada vetor.</t>
    </r>
  </si>
  <si>
    <r>
      <rPr>
        <b/>
        <sz val="11"/>
        <color rgb="FF000000"/>
        <rFont val="Arial Narrow"/>
        <family val="2"/>
      </rPr>
      <t xml:space="preserve">5.       Teste de Kaiser-Meyer-Olkin: </t>
    </r>
    <r>
      <rPr>
        <sz val="11"/>
        <color rgb="FF000000"/>
        <rFont val="Arial Narrow"/>
        <family val="2"/>
      </rPr>
      <t>A robustez da análise fatorial é avaliada pelo teste Kaiser-Meyer-Olkin (KMO) de adequação amostral, buscando-se resultados acima de 0.5.</t>
    </r>
  </si>
  <si>
    <r>
      <rPr>
        <b/>
        <sz val="11"/>
        <color rgb="FF000000"/>
        <rFont val="Arial Narrow"/>
        <family val="2"/>
      </rPr>
      <t xml:space="preserve">6.       Padronização dos pesos da AF: </t>
    </r>
    <r>
      <rPr>
        <sz val="11"/>
        <color rgb="FF000000"/>
        <rFont val="Arial Narrow"/>
        <family val="2"/>
      </rPr>
      <t>Os pesos wj obtidos na análise fatorial para cada variável j são padronizados por componente de modo que a soma dos pesos seja igual a 1.</t>
    </r>
  </si>
  <si>
    <r>
      <rPr>
        <b/>
        <sz val="11"/>
        <color rgb="FF000000"/>
        <rFont val="Arial Narrow"/>
        <family val="2"/>
      </rPr>
      <t xml:space="preserve">7.       Nota dos componentes: </t>
    </r>
    <r>
      <rPr>
        <sz val="11"/>
        <color rgb="FF000000"/>
        <rFont val="Arial Narrow"/>
        <family val="2"/>
      </rPr>
      <t>A nota de cada observação em cada componente é dada pela multiplicação de</t>
    </r>
    <r>
      <rPr>
        <b/>
        <sz val="11"/>
        <color rgb="FF000000"/>
        <rFont val="Arial Narrow"/>
        <family val="2"/>
      </rPr>
      <t xml:space="preserve"> </t>
    </r>
    <r>
      <rPr>
        <sz val="11"/>
        <color rgb="FF000000"/>
        <rFont val="Arial Narrow"/>
        <family val="2"/>
      </rPr>
      <t>zij pelo peso wj atribuído a cada variável por meio da análise fatorial, de modo que a nota do componente é dada por:</t>
    </r>
  </si>
  <si>
    <t>onde C é a nota do componente, i é o número de observações por variável e n = 31 , número de Regiões Administrativas.</t>
  </si>
  <si>
    <r>
      <rPr>
        <b/>
        <sz val="11"/>
        <color rgb="FF000000"/>
        <rFont val="Arial Narrow"/>
        <family val="2"/>
      </rPr>
      <t xml:space="preserve">8.       Nota das dimensões: </t>
    </r>
    <r>
      <rPr>
        <sz val="11"/>
        <color rgb="FF000000"/>
        <rFont val="Arial Narrow"/>
        <family val="2"/>
      </rPr>
      <t>A nota de cada dimensão é calculada pela média simples das notas de cada</t>
    </r>
    <r>
      <rPr>
        <b/>
        <sz val="11"/>
        <color rgb="FF000000"/>
        <rFont val="Arial Narrow"/>
        <family val="2"/>
      </rPr>
      <t xml:space="preserve"> </t>
    </r>
    <r>
      <rPr>
        <sz val="11"/>
        <color rgb="FF000000"/>
        <rFont val="Arial Narrow"/>
        <family val="2"/>
      </rPr>
      <t>componente, onde o número de</t>
    </r>
    <r>
      <rPr>
        <b/>
        <sz val="11"/>
        <color rgb="FF000000"/>
        <rFont val="Arial Narrow"/>
        <family val="2"/>
      </rPr>
      <t xml:space="preserve"> </t>
    </r>
    <r>
      <rPr>
        <sz val="11"/>
        <color rgb="FF000000"/>
        <rFont val="Arial Narrow"/>
        <family val="2"/>
      </rPr>
      <t>componentes é sempre igual a 4, pois são 4 componentes por dimensão D.</t>
    </r>
  </si>
  <si>
    <r>
      <rPr>
        <b/>
        <sz val="11"/>
        <color rgb="FF000000"/>
        <rFont val="Arial Narrow"/>
        <family val="2"/>
      </rPr>
      <t xml:space="preserve">9.       Nota do IPS: </t>
    </r>
    <r>
      <rPr>
        <sz val="11"/>
        <color rgb="FF000000"/>
        <rFont val="Arial Narrow"/>
        <family val="2"/>
      </rPr>
      <t xml:space="preserve">A nota do IPS é calculada pela média simples das notas das dimensões, onde o </t>
    </r>
  </si>
  <si>
    <r>
      <rPr>
        <b/>
        <sz val="12"/>
        <color rgb="FF000000"/>
        <rFont val="Arial Narrow"/>
        <family val="2"/>
      </rPr>
      <t xml:space="preserve">OBS: </t>
    </r>
    <r>
      <rPr>
        <sz val="12"/>
        <color rgb="FF000000"/>
        <rFont val="Arial Narrow"/>
        <family val="2"/>
      </rPr>
      <t xml:space="preserve">Os testes de Alpha de Cronbach e KMO são realizados em componentes com três ou mais variáveis. Por esta razão os, testes foram realizados nos componentes de Segurança Pessoal, Acesso à Informação e Comunicação e Sustentabilidade dos Ecossistemas, sendo o peso das variáveis igual a 0.5.  Os componentes de Direitos Individuais e Sustentabilidade e Ecossistemas foram  os únicos com Alpha de Cronbach inferior a 0.7
</t>
    </r>
  </si>
  <si>
    <t>O relatório completo sobre o IPS Rio de Janeiro 2018 e comparações com 2016 está no  Data.Rio, portal de informações e estudos do IPP no link abaixo.</t>
  </si>
  <si>
    <t>http://www.data.rio</t>
  </si>
  <si>
    <t>Tabela - Índices das dimesnões e componentes  do Índice de Progresso Social (IPS) , segundo as Regiões Administrativas (RA) - Município do Rio de Janeiro - 2024</t>
  </si>
  <si>
    <t>Acesso à educação superior</t>
  </si>
  <si>
    <t>Elaboração: Prefeitura do Rio de Janeiro/ IPP/ Coordenadoria de Pesquisa, Avaliação e Políticas Públicas (CPAP) e Coordenadoria de Informações da Cidade (CIC)</t>
  </si>
  <si>
    <t>Tabela - Indicadores do Índice de Progresso Social (IPS), segundo as Regiões Administrativas (RA) - Município do Rio de Janeiro - 2024</t>
  </si>
  <si>
    <t>XXX COMPLEXO DA MARÉ</t>
  </si>
  <si>
    <t>mort0a5</t>
  </si>
  <si>
    <t>baixopeso</t>
  </si>
  <si>
    <t>mort_mat</t>
  </si>
  <si>
    <t>ira</t>
  </si>
  <si>
    <t>agua</t>
  </si>
  <si>
    <t>esgoto</t>
  </si>
  <si>
    <t>banhe</t>
  </si>
  <si>
    <t>popfavela</t>
  </si>
  <si>
    <t>energia</t>
  </si>
  <si>
    <t>adensa</t>
  </si>
  <si>
    <t>homicid</t>
  </si>
  <si>
    <t>roubos</t>
  </si>
  <si>
    <t>IDEB1</t>
  </si>
  <si>
    <t>IDEB2</t>
  </si>
  <si>
    <t>aband</t>
  </si>
  <si>
    <t>telcel</t>
  </si>
  <si>
    <t>internet</t>
  </si>
  <si>
    <t>dcnt</t>
  </si>
  <si>
    <t>dengue</t>
  </si>
  <si>
    <t>hiv_tb</t>
  </si>
  <si>
    <t>coleta</t>
  </si>
  <si>
    <t>areaverde</t>
  </si>
  <si>
    <t>mobili</t>
  </si>
  <si>
    <t>acaopolicial</t>
  </si>
  <si>
    <t>tempotransit</t>
  </si>
  <si>
    <t>abstx</t>
  </si>
  <si>
    <t>gravidez</t>
  </si>
  <si>
    <t>peti</t>
  </si>
  <si>
    <t>iac</t>
  </si>
  <si>
    <t>vio_mulher</t>
  </si>
  <si>
    <t>joven_negro</t>
  </si>
  <si>
    <t>vulnera</t>
  </si>
  <si>
    <t>pop_sup</t>
  </si>
  <si>
    <t>nbranco_sup</t>
  </si>
  <si>
    <t>cursando_sup</t>
  </si>
  <si>
    <t>NCMB</t>
  </si>
  <si>
    <t>AS</t>
  </si>
  <si>
    <t>MORA</t>
  </si>
  <si>
    <t>SP</t>
  </si>
  <si>
    <t>EDUB</t>
  </si>
  <si>
    <t>AIC</t>
  </si>
  <si>
    <t>SBE</t>
  </si>
  <si>
    <t>SE</t>
  </si>
  <si>
    <t>DI</t>
  </si>
  <si>
    <t>LI</t>
  </si>
  <si>
    <t>TI</t>
  </si>
  <si>
    <t>AES</t>
  </si>
  <si>
    <t>NHB</t>
  </si>
  <si>
    <t>FBE</t>
  </si>
  <si>
    <t>OPP</t>
  </si>
  <si>
    <t>IPS</t>
  </si>
  <si>
    <t>Renda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</si>
</sst>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
  </numFmts>
  <fonts count="27" x14ac:knownFonts="1">
    <font>
      <sz val="10"/>
      <color rgb="FF000000"/>
      <name val="Arial"/>
      <scheme val="minor"/>
    </font>
    <font>
      <i/>
      <sz val="8"/>
      <color rgb="FF0000FF"/>
      <name val="Arial Narrow"/>
      <family val="2"/>
    </font>
    <font>
      <sz val="8"/>
      <color theme="1"/>
      <name val="Arial Narrow"/>
      <family val="2"/>
    </font>
    <font>
      <sz val="10"/>
      <color rgb="FF000000"/>
      <name val="Arial"/>
      <family val="2"/>
    </font>
    <font>
      <sz val="10"/>
      <color theme="1"/>
      <name val="Arial Narrow"/>
      <family val="2"/>
    </font>
    <font>
      <b/>
      <sz val="10"/>
      <color theme="1"/>
      <name val="Arial Narrow"/>
      <family val="2"/>
    </font>
    <font>
      <sz val="8"/>
      <color rgb="FF000000"/>
      <name val="Arial Narrow"/>
      <family val="2"/>
    </font>
    <font>
      <sz val="10"/>
      <name val="Arial"/>
      <family val="2"/>
    </font>
    <font>
      <i/>
      <sz val="9"/>
      <color rgb="FF0000FF"/>
      <name val="Arial Narrow"/>
      <family val="2"/>
    </font>
    <font>
      <sz val="12"/>
      <color rgb="FF000000"/>
      <name val="Arial"/>
      <family val="2"/>
    </font>
    <font>
      <b/>
      <sz val="10"/>
      <color rgb="FF000000"/>
      <name val="Arial"/>
      <family val="2"/>
    </font>
    <font>
      <sz val="10"/>
      <color rgb="FF000000"/>
      <name val="Calibri"/>
      <family val="2"/>
    </font>
    <font>
      <sz val="10"/>
      <color rgb="FF000000"/>
      <name val="Arial Narrow"/>
      <family val="2"/>
    </font>
    <font>
      <sz val="11"/>
      <color rgb="FFFF0000"/>
      <name val="Calibri"/>
      <family val="2"/>
    </font>
    <font>
      <sz val="7"/>
      <color rgb="FF000000"/>
      <name val="Arial Narrow"/>
      <family val="2"/>
    </font>
    <font>
      <b/>
      <sz val="16"/>
      <color rgb="FF000000"/>
      <name val="Arial Narrow"/>
      <family val="2"/>
    </font>
    <font>
      <sz val="11"/>
      <color rgb="FF000000"/>
      <name val="Arial Narrow"/>
      <family val="2"/>
    </font>
    <font>
      <b/>
      <sz val="11"/>
      <color rgb="FF000000"/>
      <name val="Arial Narrow"/>
      <family val="2"/>
    </font>
    <font>
      <b/>
      <i/>
      <sz val="11"/>
      <color rgb="FF000000"/>
      <name val="Arial Narrow"/>
      <family val="2"/>
    </font>
    <font>
      <sz val="12"/>
      <color rgb="FF000000"/>
      <name val="Arial Narrow"/>
      <family val="2"/>
    </font>
    <font>
      <u/>
      <sz val="10"/>
      <color theme="10"/>
      <name val="Arial"/>
      <family val="2"/>
    </font>
    <font>
      <sz val="9"/>
      <color theme="1"/>
      <name val="Calibri"/>
      <family val="2"/>
    </font>
    <font>
      <sz val="11"/>
      <color theme="1"/>
      <name val="Calibri"/>
      <family val="2"/>
    </font>
    <font>
      <b/>
      <sz val="11"/>
      <color theme="1"/>
      <name val="Calibri"/>
      <family val="2"/>
    </font>
    <font>
      <sz val="10"/>
      <color theme="1"/>
      <name val="Arial"/>
      <family val="2"/>
      <scheme val="minor"/>
    </font>
    <font>
      <sz val="14"/>
      <color rgb="FF000000"/>
      <name val="Arial Narrow"/>
      <family val="2"/>
    </font>
    <font>
      <b/>
      <sz val="12"/>
      <color rgb="FF000000"/>
      <name val="Arial Narrow"/>
      <family val="2"/>
    </font>
  </fonts>
  <fills count="9">
    <fill>
      <patternFill patternType="none"/>
    </fill>
    <fill>
      <patternFill patternType="gray125"/>
    </fill>
    <fill>
      <patternFill patternType="solid">
        <fgColor theme="0"/>
        <bgColor theme="0"/>
      </patternFill>
    </fill>
    <fill>
      <patternFill patternType="solid">
        <fgColor rgb="FF99CCFF"/>
        <bgColor rgb="FF99CCFF"/>
      </patternFill>
    </fill>
    <fill>
      <patternFill patternType="solid">
        <fgColor rgb="FFD8D8D8"/>
        <bgColor rgb="FFD8D8D8"/>
      </patternFill>
    </fill>
    <fill>
      <patternFill patternType="solid">
        <fgColor rgb="FF8DB3E2"/>
        <bgColor rgb="FF8DB3E2"/>
      </patternFill>
    </fill>
    <fill>
      <patternFill patternType="solid">
        <fgColor rgb="FFFFC000"/>
        <bgColor rgb="FFFFC000"/>
      </patternFill>
    </fill>
    <fill>
      <patternFill patternType="solid">
        <fgColor rgb="FF00B050"/>
        <bgColor rgb="FF00B050"/>
      </patternFill>
    </fill>
    <fill>
      <patternFill patternType="solid">
        <fgColor theme="4"/>
        <bgColor theme="4"/>
      </patternFill>
    </fill>
  </fills>
  <borders count="40">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right style="medium">
        <color rgb="FFFFFFFF"/>
      </right>
      <top/>
      <bottom style="medium">
        <color rgb="FFFFFFFF"/>
      </bottom>
      <diagonal/>
    </border>
    <border>
      <left/>
      <right style="medium">
        <color rgb="FFFFFFFF"/>
      </right>
      <top/>
      <bottom style="thin">
        <color rgb="FF000000"/>
      </bottom>
      <diagonal/>
    </border>
    <border>
      <left style="medium">
        <color rgb="FF000000"/>
      </left>
      <right/>
      <top style="medium">
        <color rgb="FF000000"/>
      </top>
      <bottom/>
      <diagonal/>
    </border>
    <border>
      <left style="medium">
        <color rgb="FF000000"/>
      </left>
      <right/>
      <top/>
      <bottom/>
      <diagonal/>
    </border>
  </borders>
  <cellStyleXfs count="1">
    <xf numFmtId="0" fontId="0" fillId="0" borderId="0"/>
  </cellStyleXfs>
  <cellXfs count="134">
    <xf numFmtId="0" fontId="0" fillId="0" borderId="0" xfId="0"/>
    <xf numFmtId="0" fontId="3" fillId="2" borderId="1" xfId="0" applyFont="1" applyFill="1" applyBorder="1"/>
    <xf numFmtId="0" fontId="3" fillId="2" borderId="1" xfId="0" applyFont="1" applyFill="1" applyBorder="1" applyAlignment="1">
      <alignment horizontal="center" vertical="center"/>
    </xf>
    <xf numFmtId="0" fontId="4" fillId="2" borderId="1" xfId="0" applyFont="1" applyFill="1" applyBorder="1" applyAlignment="1">
      <alignment horizontal="left" vertical="center"/>
    </xf>
    <xf numFmtId="0" fontId="2" fillId="2" borderId="1" xfId="0" applyFont="1" applyFill="1" applyBorder="1" applyAlignment="1">
      <alignment horizontal="left" vertical="center"/>
    </xf>
    <xf numFmtId="2" fontId="6" fillId="2" borderId="1" xfId="0" applyNumberFormat="1" applyFont="1" applyFill="1" applyBorder="1" applyAlignment="1">
      <alignment horizontal="right" vertical="center"/>
    </xf>
    <xf numFmtId="10" fontId="6" fillId="2" borderId="1" xfId="0" applyNumberFormat="1" applyFont="1" applyFill="1" applyBorder="1" applyAlignment="1">
      <alignment horizontal="right" vertical="center"/>
    </xf>
    <xf numFmtId="2" fontId="2" fillId="2" borderId="1" xfId="0" applyNumberFormat="1" applyFont="1" applyFill="1" applyBorder="1" applyAlignment="1">
      <alignment horizontal="right" vertical="center"/>
    </xf>
    <xf numFmtId="10" fontId="2" fillId="2" borderId="1" xfId="0" applyNumberFormat="1" applyFont="1" applyFill="1" applyBorder="1" applyAlignment="1">
      <alignment horizontal="right" vertical="center"/>
    </xf>
    <xf numFmtId="0" fontId="3" fillId="2" borderId="1" xfId="0" applyFont="1" applyFill="1" applyBorder="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10" fillId="2" borderId="35" xfId="0" applyFont="1" applyFill="1" applyBorder="1" applyAlignment="1">
      <alignment horizontal="center" vertical="center"/>
    </xf>
    <xf numFmtId="0" fontId="10" fillId="2" borderId="25"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left" wrapText="1"/>
    </xf>
    <xf numFmtId="0" fontId="11" fillId="2" borderId="36"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36"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3" fillId="2" borderId="1" xfId="0" applyFont="1" applyFill="1" applyBorder="1"/>
    <xf numFmtId="0" fontId="10" fillId="2" borderId="1" xfId="0" applyFont="1" applyFill="1" applyBorder="1" applyAlignment="1">
      <alignment vertical="center"/>
    </xf>
    <xf numFmtId="0" fontId="3" fillId="2" borderId="1" xfId="0" applyFont="1" applyFill="1" applyBorder="1" applyAlignment="1">
      <alignment vertical="center" wrapText="1"/>
    </xf>
    <xf numFmtId="0" fontId="10" fillId="2" borderId="1" xfId="0" applyFont="1" applyFill="1" applyBorder="1" applyAlignment="1">
      <alignment horizontal="left" vertical="center"/>
    </xf>
    <xf numFmtId="0" fontId="10" fillId="2" borderId="1" xfId="0" applyFont="1" applyFill="1" applyBorder="1" applyAlignment="1">
      <alignment vertical="center" wrapText="1"/>
    </xf>
    <xf numFmtId="0" fontId="4" fillId="2" borderId="36" xfId="0" applyFont="1" applyFill="1" applyBorder="1" applyAlignment="1">
      <alignment horizontal="center" vertical="center" wrapText="1"/>
    </xf>
    <xf numFmtId="0" fontId="2" fillId="2" borderId="9" xfId="0" applyFont="1" applyFill="1" applyBorder="1" applyAlignment="1">
      <alignment horizontal="left" vertical="center"/>
    </xf>
    <xf numFmtId="2" fontId="6" fillId="2" borderId="9" xfId="0" applyNumberFormat="1" applyFont="1" applyFill="1" applyBorder="1" applyAlignment="1">
      <alignment horizontal="right" vertical="center"/>
    </xf>
    <xf numFmtId="10" fontId="6" fillId="2" borderId="9" xfId="0" applyNumberFormat="1" applyFont="1" applyFill="1" applyBorder="1" applyAlignment="1">
      <alignment horizontal="right" vertical="center"/>
    </xf>
    <xf numFmtId="2" fontId="2" fillId="2" borderId="9" xfId="0" applyNumberFormat="1" applyFont="1" applyFill="1" applyBorder="1" applyAlignment="1">
      <alignment horizontal="right" vertical="center"/>
    </xf>
    <xf numFmtId="10" fontId="2" fillId="2" borderId="9" xfId="0" applyNumberFormat="1" applyFont="1" applyFill="1" applyBorder="1" applyAlignment="1">
      <alignment horizontal="right" vertical="center"/>
    </xf>
    <xf numFmtId="0" fontId="10" fillId="2" borderId="9" xfId="0" applyFont="1" applyFill="1" applyBorder="1" applyAlignment="1">
      <alignment vertical="center"/>
    </xf>
    <xf numFmtId="0" fontId="3" fillId="2" borderId="9" xfId="0" applyFont="1" applyFill="1" applyBorder="1" applyAlignment="1">
      <alignment vertical="center" wrapText="1"/>
    </xf>
    <xf numFmtId="0" fontId="11" fillId="2" borderId="37"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2" fillId="2" borderId="1" xfId="0" applyFont="1" applyFill="1" applyBorder="1" applyAlignment="1">
      <alignment horizontal="left" wrapText="1"/>
    </xf>
    <xf numFmtId="0" fontId="17" fillId="2" borderId="1" xfId="0" applyFont="1" applyFill="1" applyBorder="1" applyAlignment="1">
      <alignment horizontal="left" vertical="center" wrapText="1"/>
    </xf>
    <xf numFmtId="0" fontId="12" fillId="2" borderId="1" xfId="0" applyFont="1" applyFill="1" applyBorder="1" applyAlignment="1">
      <alignment horizontal="left"/>
    </xf>
    <xf numFmtId="0" fontId="12" fillId="2" borderId="1" xfId="0" applyFont="1" applyFill="1" applyBorder="1"/>
    <xf numFmtId="0" fontId="12" fillId="2" borderId="1" xfId="0" applyFont="1" applyFill="1" applyBorder="1" applyAlignment="1">
      <alignment wrapText="1"/>
    </xf>
    <xf numFmtId="0" fontId="9" fillId="2" borderId="1" xfId="0" applyFont="1" applyFill="1" applyBorder="1"/>
    <xf numFmtId="0" fontId="20" fillId="2" borderId="1" xfId="0" applyFont="1" applyFill="1" applyBorder="1"/>
    <xf numFmtId="0" fontId="21" fillId="4" borderId="25" xfId="0" applyFont="1" applyFill="1" applyBorder="1" applyAlignment="1">
      <alignment horizontal="center" vertical="center" wrapText="1"/>
    </xf>
    <xf numFmtId="0" fontId="22"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22"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23" fillId="8" borderId="1" xfId="0" applyFont="1" applyFill="1" applyBorder="1" applyAlignment="1">
      <alignment horizontal="center" vertical="center"/>
    </xf>
    <xf numFmtId="0" fontId="22" fillId="0" borderId="0" xfId="0" applyFont="1" applyAlignment="1">
      <alignment vertical="center" wrapText="1"/>
    </xf>
    <xf numFmtId="1" fontId="24" fillId="0" borderId="0" xfId="0" applyNumberFormat="1" applyFont="1"/>
    <xf numFmtId="0" fontId="3" fillId="0" borderId="38" xfId="0" applyFont="1" applyBorder="1"/>
    <xf numFmtId="1" fontId="3" fillId="0" borderId="0" xfId="0" applyNumberFormat="1" applyFont="1" applyAlignment="1">
      <alignment horizontal="center" vertical="center"/>
    </xf>
    <xf numFmtId="0" fontId="3" fillId="0" borderId="39" xfId="0" applyFont="1" applyBorder="1"/>
    <xf numFmtId="0" fontId="9" fillId="2" borderId="2" xfId="0" applyFont="1" applyFill="1" applyBorder="1" applyAlignment="1">
      <alignment horizontal="center" vertical="center" wrapText="1"/>
    </xf>
    <xf numFmtId="0" fontId="7" fillId="0" borderId="3" xfId="0" applyFont="1" applyBorder="1"/>
    <xf numFmtId="0" fontId="7" fillId="0" borderId="5" xfId="0" applyFont="1" applyBorder="1"/>
    <xf numFmtId="0" fontId="3" fillId="2" borderId="2" xfId="0" applyFont="1" applyFill="1" applyBorder="1" applyAlignment="1">
      <alignment horizontal="left" vertical="top" wrapText="1"/>
    </xf>
    <xf numFmtId="0" fontId="10" fillId="2" borderId="27" xfId="0" applyFont="1" applyFill="1" applyBorder="1" applyAlignment="1">
      <alignment horizontal="center" vertical="center" wrapText="1"/>
    </xf>
    <xf numFmtId="0" fontId="7" fillId="0" borderId="33" xfId="0" applyFont="1" applyBorder="1"/>
    <xf numFmtId="0" fontId="10" fillId="2" borderId="28" xfId="0" applyFont="1" applyFill="1" applyBorder="1" applyAlignment="1">
      <alignment horizontal="center" vertical="center" wrapText="1"/>
    </xf>
    <xf numFmtId="0" fontId="7" fillId="0" borderId="34" xfId="0" applyFont="1" applyBorder="1"/>
    <xf numFmtId="0" fontId="10" fillId="2" borderId="30" xfId="0" applyFont="1" applyFill="1" applyBorder="1" applyAlignment="1">
      <alignment horizontal="center" vertical="center"/>
    </xf>
    <xf numFmtId="0" fontId="7" fillId="0" borderId="31" xfId="0" applyFont="1" applyBorder="1"/>
    <xf numFmtId="0" fontId="7" fillId="0" borderId="32" xfId="0" applyFont="1" applyBorder="1"/>
    <xf numFmtId="0" fontId="16" fillId="2" borderId="2" xfId="0" applyFont="1" applyFill="1" applyBorder="1" applyAlignment="1">
      <alignment horizontal="left" vertical="center" wrapText="1"/>
    </xf>
    <xf numFmtId="0" fontId="18" fillId="2" borderId="2" xfId="0" applyFont="1" applyFill="1" applyBorder="1" applyAlignment="1">
      <alignment horizontal="left" vertical="center" wrapText="1"/>
    </xf>
    <xf numFmtId="0" fontId="16" fillId="2" borderId="2" xfId="0" applyFont="1" applyFill="1" applyBorder="1" applyAlignment="1">
      <alignment horizontal="left" wrapText="1"/>
    </xf>
    <xf numFmtId="0" fontId="19" fillId="2" borderId="2" xfId="0" applyFont="1" applyFill="1" applyBorder="1" applyAlignment="1">
      <alignment vertical="top" wrapText="1"/>
    </xf>
    <xf numFmtId="0" fontId="10" fillId="2" borderId="29" xfId="0" applyFont="1" applyFill="1" applyBorder="1" applyAlignment="1">
      <alignment horizontal="center" vertical="center"/>
    </xf>
    <xf numFmtId="0" fontId="7" fillId="0" borderId="23" xfId="0" applyFont="1" applyBorder="1"/>
    <xf numFmtId="0" fontId="15" fillId="2" borderId="2" xfId="0" applyFont="1" applyFill="1" applyBorder="1" applyAlignment="1">
      <alignment horizontal="center" vertical="center"/>
    </xf>
    <xf numFmtId="0" fontId="17" fillId="2" borderId="2" xfId="0" applyFont="1" applyFill="1" applyBorder="1" applyAlignment="1">
      <alignment horizontal="left" vertical="center" wrapText="1"/>
    </xf>
    <xf numFmtId="0" fontId="6" fillId="3" borderId="10" xfId="0" applyFont="1" applyFill="1" applyBorder="1" applyAlignment="1">
      <alignment horizontal="center" vertical="top"/>
    </xf>
    <xf numFmtId="0" fontId="6" fillId="3" borderId="13" xfId="0" applyFont="1" applyFill="1" applyBorder="1" applyAlignment="1">
      <alignment horizontal="center" vertical="top"/>
    </xf>
    <xf numFmtId="0" fontId="4" fillId="2" borderId="2" xfId="0" applyFont="1" applyFill="1" applyBorder="1" applyAlignment="1">
      <alignment horizontal="left" wrapText="1"/>
    </xf>
    <xf numFmtId="0" fontId="1" fillId="0" borderId="0" xfId="0" applyFont="1" applyAlignment="1">
      <alignment horizontal="center"/>
    </xf>
    <xf numFmtId="2" fontId="2" fillId="2" borderId="1" xfId="0" applyNumberFormat="1" applyFont="1" applyFill="1" applyBorder="1" applyAlignment="1">
      <alignment horizontal="center"/>
    </xf>
    <xf numFmtId="164" fontId="2" fillId="2" borderId="1" xfId="0" applyNumberFormat="1" applyFont="1" applyFill="1" applyBorder="1" applyAlignment="1">
      <alignment horizontal="center"/>
    </xf>
    <xf numFmtId="10" fontId="8" fillId="2" borderId="1" xfId="0" applyNumberFormat="1" applyFont="1" applyFill="1" applyBorder="1" applyAlignment="1">
      <alignment horizontal="center"/>
    </xf>
    <xf numFmtId="10" fontId="2" fillId="2" borderId="1" xfId="0" applyNumberFormat="1" applyFont="1" applyFill="1" applyBorder="1" applyAlignment="1">
      <alignment horizontal="center"/>
    </xf>
    <xf numFmtId="0" fontId="8" fillId="2" borderId="1" xfId="0" applyFont="1" applyFill="1" applyBorder="1" applyAlignment="1">
      <alignment horizontal="center"/>
    </xf>
    <xf numFmtId="164" fontId="2" fillId="0" borderId="0" xfId="0" applyNumberFormat="1" applyFont="1" applyAlignment="1">
      <alignment horizontal="center"/>
    </xf>
    <xf numFmtId="10" fontId="3" fillId="0" borderId="0" xfId="0" applyNumberFormat="1" applyFont="1" applyAlignment="1">
      <alignment horizontal="center"/>
    </xf>
    <xf numFmtId="0" fontId="0" fillId="0" borderId="0" xfId="0" applyAlignment="1">
      <alignment horizontal="center"/>
    </xf>
    <xf numFmtId="0" fontId="4" fillId="2" borderId="1" xfId="0" applyFont="1" applyFill="1" applyBorder="1" applyAlignment="1">
      <alignment horizontal="center"/>
    </xf>
    <xf numFmtId="2" fontId="4" fillId="2" borderId="1" xfId="0" applyNumberFormat="1" applyFont="1" applyFill="1" applyBorder="1" applyAlignment="1">
      <alignment horizontal="center"/>
    </xf>
    <xf numFmtId="164" fontId="4" fillId="2" borderId="1" xfId="0" applyNumberFormat="1" applyFont="1" applyFill="1" applyBorder="1" applyAlignment="1">
      <alignment horizontal="center"/>
    </xf>
    <xf numFmtId="10" fontId="4" fillId="2" borderId="1" xfId="0" applyNumberFormat="1" applyFont="1" applyFill="1" applyBorder="1" applyAlignment="1">
      <alignment horizontal="center"/>
    </xf>
    <xf numFmtId="164" fontId="4" fillId="0" borderId="0" xfId="0" applyNumberFormat="1" applyFont="1"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wrapText="1"/>
    </xf>
    <xf numFmtId="10" fontId="5" fillId="2" borderId="1" xfId="0" applyNumberFormat="1" applyFont="1" applyFill="1" applyBorder="1" applyAlignment="1">
      <alignment horizontal="center" wrapText="1"/>
    </xf>
    <xf numFmtId="0" fontId="5" fillId="0" borderId="0" xfId="0" applyFont="1" applyAlignment="1">
      <alignment horizontal="center" wrapText="1"/>
    </xf>
    <xf numFmtId="0" fontId="6" fillId="3" borderId="6" xfId="0" applyFont="1" applyFill="1" applyBorder="1" applyAlignment="1">
      <alignment horizontal="center" vertical="top" wrapText="1"/>
    </xf>
    <xf numFmtId="0" fontId="6" fillId="3" borderId="4" xfId="0" applyFont="1" applyFill="1" applyBorder="1" applyAlignment="1">
      <alignment horizontal="center" vertical="top" wrapText="1"/>
    </xf>
    <xf numFmtId="0" fontId="2" fillId="3" borderId="4" xfId="0" applyFont="1" applyFill="1" applyBorder="1" applyAlignment="1">
      <alignment horizontal="center" vertical="top" wrapText="1"/>
    </xf>
    <xf numFmtId="10" fontId="2" fillId="3" borderId="4" xfId="0" applyNumberFormat="1" applyFont="1" applyFill="1" applyBorder="1" applyAlignment="1">
      <alignment horizontal="center" vertical="top" wrapText="1"/>
    </xf>
    <xf numFmtId="10" fontId="6" fillId="3" borderId="4" xfId="0" applyNumberFormat="1" applyFont="1" applyFill="1" applyBorder="1" applyAlignment="1">
      <alignment horizontal="center" vertical="top" wrapText="1"/>
    </xf>
    <xf numFmtId="10" fontId="6" fillId="3" borderId="6" xfId="0" applyNumberFormat="1" applyFont="1" applyFill="1" applyBorder="1" applyAlignment="1">
      <alignment horizontal="center" vertical="top" wrapText="1"/>
    </xf>
    <xf numFmtId="10" fontId="6" fillId="3" borderId="9" xfId="0" applyNumberFormat="1" applyFont="1" applyFill="1" applyBorder="1" applyAlignment="1">
      <alignment horizontal="center" vertical="top" wrapText="1"/>
    </xf>
    <xf numFmtId="0" fontId="2" fillId="2" borderId="1" xfId="0" applyFont="1" applyFill="1" applyBorder="1" applyAlignment="1">
      <alignment horizontal="center" vertical="center"/>
    </xf>
    <xf numFmtId="2" fontId="6" fillId="2" borderId="1" xfId="0" applyNumberFormat="1" applyFont="1" applyFill="1" applyBorder="1" applyAlignment="1">
      <alignment horizontal="center" vertical="center"/>
    </xf>
    <xf numFmtId="10" fontId="6" fillId="2" borderId="1" xfId="0" applyNumberFormat="1" applyFont="1" applyFill="1" applyBorder="1" applyAlignment="1">
      <alignment horizontal="center" vertical="center"/>
    </xf>
    <xf numFmtId="0" fontId="3" fillId="2" borderId="1" xfId="0" applyFont="1" applyFill="1" applyBorder="1" applyAlignment="1">
      <alignment horizontal="center"/>
    </xf>
    <xf numFmtId="0" fontId="7" fillId="0" borderId="3" xfId="0" applyFont="1" applyBorder="1" applyAlignment="1">
      <alignment horizontal="center"/>
    </xf>
    <xf numFmtId="0" fontId="7" fillId="0" borderId="5" xfId="0" applyFont="1" applyBorder="1" applyAlignment="1">
      <alignment horizontal="center"/>
    </xf>
    <xf numFmtId="0" fontId="5" fillId="2" borderId="1" xfId="0" applyFont="1" applyFill="1" applyBorder="1" applyAlignment="1">
      <alignment horizontal="center" vertical="top" wrapText="1"/>
    </xf>
    <xf numFmtId="0" fontId="6" fillId="3" borderId="7" xfId="0" applyFont="1" applyFill="1" applyBorder="1" applyAlignment="1">
      <alignment horizontal="center" vertical="top" wrapText="1"/>
    </xf>
    <xf numFmtId="0" fontId="2" fillId="3" borderId="8" xfId="0" applyFont="1" applyFill="1" applyBorder="1" applyAlignment="1">
      <alignment horizontal="center" vertical="top" wrapText="1"/>
    </xf>
    <xf numFmtId="0" fontId="7" fillId="0" borderId="11" xfId="0" applyFont="1" applyBorder="1" applyAlignment="1">
      <alignment horizontal="center"/>
    </xf>
    <xf numFmtId="0" fontId="7" fillId="0" borderId="12" xfId="0" applyFont="1" applyBorder="1" applyAlignment="1">
      <alignment horizontal="center"/>
    </xf>
    <xf numFmtId="0" fontId="7" fillId="0" borderId="14"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7" fillId="0" borderId="20" xfId="0" applyFont="1" applyBorder="1" applyAlignment="1">
      <alignment horizontal="center"/>
    </xf>
    <xf numFmtId="0" fontId="7" fillId="0" borderId="21" xfId="0" applyFont="1" applyBorder="1" applyAlignment="1">
      <alignment horizontal="center"/>
    </xf>
    <xf numFmtId="0" fontId="7" fillId="0" borderId="22" xfId="0" applyFont="1" applyBorder="1" applyAlignment="1">
      <alignment horizontal="center"/>
    </xf>
    <xf numFmtId="0" fontId="7" fillId="0" borderId="23" xfId="0" applyFont="1" applyBorder="1" applyAlignment="1">
      <alignment horizontal="center"/>
    </xf>
    <xf numFmtId="0" fontId="2" fillId="3" borderId="24" xfId="0" applyFont="1" applyFill="1" applyBorder="1" applyAlignment="1">
      <alignment horizontal="center" vertical="top" wrapText="1"/>
    </xf>
    <xf numFmtId="0" fontId="2" fillId="3" borderId="25" xfId="0" applyFont="1" applyFill="1" applyBorder="1" applyAlignment="1">
      <alignment horizontal="center" vertical="top" wrapText="1"/>
    </xf>
    <xf numFmtId="0" fontId="2" fillId="3" borderId="26" xfId="0" applyFont="1" applyFill="1" applyBorder="1" applyAlignment="1">
      <alignment horizontal="center" vertical="top" wrapText="1"/>
    </xf>
    <xf numFmtId="0" fontId="3" fillId="2" borderId="9" xfId="0" applyFont="1" applyFill="1" applyBorder="1" applyAlignment="1">
      <alignment horizontal="center"/>
    </xf>
    <xf numFmtId="0" fontId="14" fillId="2" borderId="2" xfId="0" applyFont="1" applyFill="1" applyBorder="1" applyAlignment="1">
      <alignment horizontal="center" vertical="center"/>
    </xf>
    <xf numFmtId="0" fontId="14" fillId="2" borderId="1" xfId="0" applyFont="1" applyFill="1" applyBorder="1" applyAlignment="1">
      <alignment horizontal="center" vertical="center"/>
    </xf>
    <xf numFmtId="0" fontId="7" fillId="0" borderId="3" xfId="0" applyFont="1" applyBorder="1" applyAlignment="1">
      <alignment horizontal="left"/>
    </xf>
    <xf numFmtId="0" fontId="7" fillId="0" borderId="5"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1076325</xdr:colOff>
      <xdr:row>75</xdr:row>
      <xdr:rowOff>0</xdr:rowOff>
    </xdr:from>
    <xdr:ext cx="9267825" cy="104775"/>
    <xdr:sp macro="" textlink="">
      <xdr:nvSpPr>
        <xdr:cNvPr id="3" name="Shape 3">
          <a:extLst>
            <a:ext uri="{FF2B5EF4-FFF2-40B4-BE49-F238E27FC236}">
              <a16:creationId xmlns:a16="http://schemas.microsoft.com/office/drawing/2014/main" id="{00000000-0008-0000-0000-000003000000}"/>
            </a:ext>
          </a:extLst>
        </xdr:cNvPr>
        <xdr:cNvSpPr/>
      </xdr:nvSpPr>
      <xdr:spPr>
        <a:xfrm>
          <a:off x="716850" y="3727613"/>
          <a:ext cx="9258300" cy="104775"/>
        </a:xfrm>
        <a:prstGeom prst="rect">
          <a:avLst/>
        </a:prstGeom>
        <a:solidFill>
          <a:srgbClr val="FFFFFF"/>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342900</xdr:colOff>
      <xdr:row>75</xdr:row>
      <xdr:rowOff>0</xdr:rowOff>
    </xdr:from>
    <xdr:ext cx="371475" cy="104775"/>
    <xdr:sp macro="" textlink="">
      <xdr:nvSpPr>
        <xdr:cNvPr id="4" name="Shape 4">
          <a:extLst>
            <a:ext uri="{FF2B5EF4-FFF2-40B4-BE49-F238E27FC236}">
              <a16:creationId xmlns:a16="http://schemas.microsoft.com/office/drawing/2014/main" id="{00000000-0008-0000-0000-000004000000}"/>
            </a:ext>
          </a:extLst>
        </xdr:cNvPr>
        <xdr:cNvSpPr/>
      </xdr:nvSpPr>
      <xdr:spPr>
        <a:xfrm>
          <a:off x="5160263" y="3727613"/>
          <a:ext cx="371475" cy="104775"/>
        </a:xfrm>
        <a:prstGeom prst="rect">
          <a:avLst/>
        </a:prstGeom>
        <a:solidFill>
          <a:srgbClr val="FFFFFF"/>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1076325</xdr:colOff>
      <xdr:row>74</xdr:row>
      <xdr:rowOff>1104900</xdr:rowOff>
    </xdr:from>
    <xdr:ext cx="9267825" cy="171450"/>
    <xdr:sp macro="" textlink="">
      <xdr:nvSpPr>
        <xdr:cNvPr id="5" name="Shape 5">
          <a:extLst>
            <a:ext uri="{FF2B5EF4-FFF2-40B4-BE49-F238E27FC236}">
              <a16:creationId xmlns:a16="http://schemas.microsoft.com/office/drawing/2014/main" id="{00000000-0008-0000-0000-000005000000}"/>
            </a:ext>
          </a:extLst>
        </xdr:cNvPr>
        <xdr:cNvSpPr/>
      </xdr:nvSpPr>
      <xdr:spPr>
        <a:xfrm>
          <a:off x="716850" y="3694275"/>
          <a:ext cx="9258300" cy="171450"/>
        </a:xfrm>
        <a:prstGeom prst="rect">
          <a:avLst/>
        </a:prstGeom>
        <a:solidFill>
          <a:srgbClr val="FFFFFF"/>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247650</xdr:colOff>
      <xdr:row>74</xdr:row>
      <xdr:rowOff>1104900</xdr:rowOff>
    </xdr:from>
    <xdr:ext cx="371475" cy="180975"/>
    <xdr:sp macro="" textlink="">
      <xdr:nvSpPr>
        <xdr:cNvPr id="6" name="Shape 6">
          <a:extLst>
            <a:ext uri="{FF2B5EF4-FFF2-40B4-BE49-F238E27FC236}">
              <a16:creationId xmlns:a16="http://schemas.microsoft.com/office/drawing/2014/main" id="{00000000-0008-0000-0000-000006000000}"/>
            </a:ext>
          </a:extLst>
        </xdr:cNvPr>
        <xdr:cNvSpPr/>
      </xdr:nvSpPr>
      <xdr:spPr>
        <a:xfrm>
          <a:off x="5160263" y="3689513"/>
          <a:ext cx="371475" cy="180975"/>
        </a:xfrm>
        <a:prstGeom prst="rect">
          <a:avLst/>
        </a:prstGeom>
        <a:solidFill>
          <a:srgbClr val="FFFFFF"/>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1419225</xdr:colOff>
      <xdr:row>75</xdr:row>
      <xdr:rowOff>752475</xdr:rowOff>
    </xdr:from>
    <xdr:ext cx="942975" cy="0"/>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1419225</xdr:colOff>
      <xdr:row>81</xdr:row>
      <xdr:rowOff>19050</xdr:rowOff>
    </xdr:from>
    <xdr:ext cx="952500" cy="933450"/>
    <xdr:pic>
      <xdr:nvPicPr>
        <xdr:cNvPr id="7" name="image4.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1590675</xdr:colOff>
      <xdr:row>67</xdr:row>
      <xdr:rowOff>323850</xdr:rowOff>
    </xdr:from>
    <xdr:ext cx="1600200" cy="581025"/>
    <xdr:pic>
      <xdr:nvPicPr>
        <xdr:cNvPr id="8" name="image2.png" descr="screen">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1657350</xdr:colOff>
      <xdr:row>86</xdr:row>
      <xdr:rowOff>95250</xdr:rowOff>
    </xdr:from>
    <xdr:ext cx="1371600" cy="895350"/>
    <xdr:pic>
      <xdr:nvPicPr>
        <xdr:cNvPr id="9" name="image5.png" descr="thumbnail (1)">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885825</xdr:colOff>
      <xdr:row>5</xdr:row>
      <xdr:rowOff>352425</xdr:rowOff>
    </xdr:from>
    <xdr:ext cx="10020300" cy="5762625"/>
    <xdr:pic>
      <xdr:nvPicPr>
        <xdr:cNvPr id="10" name="image1.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0258425" cy="1657350"/>
    <xdr:sp macro="" textlink="">
      <xdr:nvSpPr>
        <xdr:cNvPr id="7" name="Shape 7">
          <a:extLst>
            <a:ext uri="{FF2B5EF4-FFF2-40B4-BE49-F238E27FC236}">
              <a16:creationId xmlns:a16="http://schemas.microsoft.com/office/drawing/2014/main" id="{00000000-0008-0000-0D00-000007000000}"/>
            </a:ext>
          </a:extLst>
        </xdr:cNvPr>
        <xdr:cNvSpPr/>
      </xdr:nvSpPr>
      <xdr:spPr>
        <a:xfrm>
          <a:off x="221550" y="2956088"/>
          <a:ext cx="10248900" cy="1647825"/>
        </a:xfrm>
        <a:prstGeom prst="rect">
          <a:avLst/>
        </a:prstGeom>
        <a:noFill/>
        <a:ln>
          <a:noFill/>
        </a:ln>
      </xdr:spPr>
      <xdr:txBody>
        <a:bodyPr spcFirstLastPara="1" wrap="square" lIns="91425" tIns="45700" rIns="91425" bIns="45700" anchor="t" anchorCtr="0">
          <a:noAutofit/>
        </a:bodyPr>
        <a:lstStyle/>
        <a:p>
          <a:pPr marL="0" lvl="0" indent="0" algn="ctr" rtl="0">
            <a:lnSpc>
              <a:spcPct val="120000"/>
            </a:lnSpc>
            <a:spcBef>
              <a:spcPts val="0"/>
            </a:spcBef>
            <a:spcAft>
              <a:spcPts val="0"/>
            </a:spcAft>
            <a:buNone/>
          </a:pPr>
          <a:r>
            <a:rPr lang="en-US" sz="5000" b="1" i="0" cap="none">
              <a:latin typeface="Verdana"/>
              <a:ea typeface="Verdana"/>
              <a:cs typeface="Verdana"/>
              <a:sym typeface="Verdana"/>
            </a:rPr>
            <a:t>NÃO EDITAR </a:t>
          </a:r>
          <a:endParaRPr sz="1400"/>
        </a:p>
        <a:p>
          <a:pPr marL="0" lvl="0" indent="0" algn="ctr" rtl="0">
            <a:lnSpc>
              <a:spcPct val="117999"/>
            </a:lnSpc>
            <a:spcBef>
              <a:spcPts val="0"/>
            </a:spcBef>
            <a:spcAft>
              <a:spcPts val="0"/>
            </a:spcAft>
            <a:buNone/>
          </a:pPr>
          <a:r>
            <a:rPr lang="en-US" sz="5000" b="1" i="0" cap="none">
              <a:latin typeface="Verdana"/>
              <a:ea typeface="Verdana"/>
              <a:cs typeface="Verdana"/>
              <a:sym typeface="Verdana"/>
            </a:rPr>
            <a:t> Para uso somente da Esri</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data.r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37" workbookViewId="0"/>
  </sheetViews>
  <sheetFormatPr defaultColWidth="12.6640625" defaultRowHeight="15" customHeight="1" x14ac:dyDescent="0.25"/>
  <cols>
    <col min="1" max="1" width="4.6640625" customWidth="1"/>
    <col min="2" max="2" width="46.77734375" customWidth="1"/>
    <col min="3" max="3" width="134.21875" customWidth="1"/>
    <col min="4" max="4" width="28.88671875" customWidth="1"/>
    <col min="5" max="5" width="15.109375" customWidth="1"/>
    <col min="6" max="7" width="17.6640625" customWidth="1"/>
    <col min="8" max="26" width="8.6640625" customWidth="1"/>
  </cols>
  <sheetData>
    <row r="1" spans="1:26" ht="25.5" customHeight="1" x14ac:dyDescent="0.25">
      <c r="A1" s="1"/>
      <c r="B1" s="55" t="s">
        <v>41</v>
      </c>
      <c r="C1" s="56"/>
      <c r="D1" s="56"/>
      <c r="E1" s="57"/>
      <c r="F1" s="1"/>
      <c r="G1" s="1"/>
      <c r="H1" s="1"/>
      <c r="I1" s="1"/>
      <c r="J1" s="1"/>
      <c r="K1" s="1"/>
      <c r="L1" s="1"/>
      <c r="M1" s="1"/>
      <c r="N1" s="1"/>
      <c r="O1" s="1"/>
      <c r="P1" s="1"/>
      <c r="Q1" s="1"/>
      <c r="R1" s="1"/>
      <c r="S1" s="1"/>
      <c r="T1" s="1"/>
      <c r="U1" s="1"/>
      <c r="V1" s="1"/>
      <c r="W1" s="1"/>
      <c r="X1" s="1"/>
      <c r="Y1" s="1"/>
      <c r="Z1" s="1"/>
    </row>
    <row r="2" spans="1:26" ht="12.75" customHeight="1" x14ac:dyDescent="0.25">
      <c r="A2" s="1"/>
      <c r="B2" s="55"/>
      <c r="C2" s="56"/>
      <c r="D2" s="56"/>
      <c r="E2" s="57"/>
      <c r="F2" s="1"/>
      <c r="G2" s="1"/>
      <c r="H2" s="1"/>
      <c r="I2" s="1"/>
      <c r="J2" s="1"/>
      <c r="K2" s="1"/>
      <c r="L2" s="1"/>
      <c r="M2" s="1"/>
      <c r="N2" s="1"/>
      <c r="O2" s="1"/>
      <c r="P2" s="1"/>
      <c r="Q2" s="1"/>
      <c r="R2" s="1"/>
      <c r="S2" s="1"/>
      <c r="T2" s="1"/>
      <c r="U2" s="1"/>
      <c r="V2" s="1"/>
      <c r="W2" s="1"/>
      <c r="X2" s="1"/>
      <c r="Y2" s="1"/>
      <c r="Z2" s="1"/>
    </row>
    <row r="3" spans="1:26" ht="12.75" customHeight="1" x14ac:dyDescent="0.25">
      <c r="A3" s="1"/>
      <c r="B3" s="55"/>
      <c r="C3" s="56"/>
      <c r="D3" s="56"/>
      <c r="E3" s="57"/>
      <c r="F3" s="1"/>
      <c r="G3" s="1"/>
      <c r="H3" s="1"/>
      <c r="I3" s="1"/>
      <c r="J3" s="1"/>
      <c r="K3" s="1"/>
      <c r="L3" s="1"/>
      <c r="M3" s="1"/>
      <c r="N3" s="1"/>
      <c r="O3" s="1"/>
      <c r="P3" s="1"/>
      <c r="Q3" s="1"/>
      <c r="R3" s="1"/>
      <c r="S3" s="1"/>
      <c r="T3" s="1"/>
      <c r="U3" s="1"/>
      <c r="V3" s="1"/>
      <c r="W3" s="1"/>
      <c r="X3" s="1"/>
      <c r="Y3" s="1"/>
      <c r="Z3" s="1"/>
    </row>
    <row r="4" spans="1:26" ht="12.75" customHeight="1" x14ac:dyDescent="0.25">
      <c r="A4" s="1"/>
      <c r="B4" s="1"/>
      <c r="C4" s="1"/>
      <c r="D4" s="9"/>
      <c r="E4" s="10"/>
      <c r="F4" s="1"/>
      <c r="G4" s="1"/>
      <c r="H4" s="1"/>
      <c r="I4" s="1"/>
      <c r="J4" s="1"/>
      <c r="K4" s="1"/>
      <c r="L4" s="1"/>
      <c r="M4" s="1"/>
      <c r="N4" s="1"/>
      <c r="O4" s="1"/>
      <c r="P4" s="1"/>
      <c r="Q4" s="1"/>
      <c r="R4" s="1"/>
      <c r="S4" s="1"/>
      <c r="T4" s="1"/>
      <c r="U4" s="1"/>
      <c r="V4" s="1"/>
      <c r="W4" s="1"/>
      <c r="X4" s="1"/>
      <c r="Y4" s="1"/>
      <c r="Z4" s="1"/>
    </row>
    <row r="5" spans="1:26" ht="12.75" customHeight="1" x14ac:dyDescent="0.25">
      <c r="A5" s="1"/>
      <c r="B5" s="1"/>
      <c r="C5" s="1"/>
      <c r="D5" s="9"/>
      <c r="E5" s="10"/>
      <c r="F5" s="1"/>
      <c r="G5" s="1"/>
      <c r="H5" s="1"/>
      <c r="I5" s="1"/>
      <c r="J5" s="1"/>
      <c r="K5" s="1"/>
      <c r="L5" s="1"/>
      <c r="M5" s="1"/>
      <c r="N5" s="1"/>
      <c r="O5" s="1"/>
      <c r="P5" s="1"/>
      <c r="Q5" s="1"/>
      <c r="R5" s="1"/>
      <c r="S5" s="1"/>
      <c r="T5" s="1"/>
      <c r="U5" s="1"/>
      <c r="V5" s="1"/>
      <c r="W5" s="1"/>
      <c r="X5" s="1"/>
      <c r="Y5" s="1"/>
      <c r="Z5" s="1"/>
    </row>
    <row r="6" spans="1:26" ht="28.5" customHeight="1" x14ac:dyDescent="0.25">
      <c r="A6" s="1"/>
      <c r="B6" s="58" t="s">
        <v>61</v>
      </c>
      <c r="C6" s="56"/>
      <c r="D6" s="56"/>
      <c r="E6" s="57"/>
      <c r="F6" s="1"/>
      <c r="G6" s="1"/>
      <c r="H6" s="1"/>
      <c r="I6" s="1"/>
      <c r="J6" s="1"/>
      <c r="K6" s="1"/>
      <c r="L6" s="1"/>
      <c r="M6" s="1"/>
      <c r="N6" s="1"/>
      <c r="O6" s="1"/>
      <c r="P6" s="1"/>
      <c r="Q6" s="1"/>
      <c r="R6" s="1"/>
      <c r="S6" s="1"/>
      <c r="T6" s="1"/>
      <c r="U6" s="1"/>
      <c r="V6" s="1"/>
      <c r="W6" s="1"/>
      <c r="X6" s="1"/>
      <c r="Y6" s="1"/>
      <c r="Z6" s="1"/>
    </row>
    <row r="7" spans="1:26" ht="28.5" customHeight="1" x14ac:dyDescent="0.25">
      <c r="A7" s="1"/>
      <c r="B7" s="11"/>
      <c r="C7" s="11"/>
      <c r="D7" s="11"/>
      <c r="E7" s="11"/>
      <c r="F7" s="1"/>
      <c r="G7" s="1"/>
      <c r="H7" s="1"/>
      <c r="I7" s="1"/>
      <c r="J7" s="1"/>
      <c r="K7" s="1"/>
      <c r="L7" s="1"/>
      <c r="M7" s="1"/>
      <c r="N7" s="1"/>
      <c r="O7" s="1"/>
      <c r="P7" s="1"/>
      <c r="Q7" s="1"/>
      <c r="R7" s="1"/>
      <c r="S7" s="1"/>
      <c r="T7" s="1"/>
      <c r="U7" s="1"/>
      <c r="V7" s="1"/>
      <c r="W7" s="1"/>
      <c r="X7" s="1"/>
      <c r="Y7" s="1"/>
      <c r="Z7" s="1"/>
    </row>
    <row r="8" spans="1:26" ht="28.5" customHeight="1" x14ac:dyDescent="0.25">
      <c r="A8" s="1"/>
      <c r="B8" s="11"/>
      <c r="C8" s="11"/>
      <c r="D8" s="11"/>
      <c r="E8" s="11"/>
      <c r="F8" s="1"/>
      <c r="G8" s="1"/>
      <c r="H8" s="1"/>
      <c r="I8" s="1"/>
      <c r="J8" s="1"/>
      <c r="K8" s="1"/>
      <c r="L8" s="1"/>
      <c r="M8" s="1"/>
      <c r="N8" s="1"/>
      <c r="O8" s="1"/>
      <c r="P8" s="1"/>
      <c r="Q8" s="1"/>
      <c r="R8" s="1"/>
      <c r="S8" s="1"/>
      <c r="T8" s="1"/>
      <c r="U8" s="1"/>
      <c r="V8" s="1"/>
      <c r="W8" s="1"/>
      <c r="X8" s="1"/>
      <c r="Y8" s="1"/>
      <c r="Z8" s="1"/>
    </row>
    <row r="9" spans="1:26" ht="28.5" customHeight="1" x14ac:dyDescent="0.25">
      <c r="A9" s="1"/>
      <c r="B9" s="11"/>
      <c r="C9" s="11"/>
      <c r="D9" s="11"/>
      <c r="E9" s="11"/>
      <c r="F9" s="1"/>
      <c r="G9" s="1"/>
      <c r="H9" s="1"/>
      <c r="I9" s="1"/>
      <c r="J9" s="1"/>
      <c r="K9" s="1"/>
      <c r="L9" s="1"/>
      <c r="M9" s="1"/>
      <c r="N9" s="1"/>
      <c r="O9" s="1"/>
      <c r="P9" s="1"/>
      <c r="Q9" s="1"/>
      <c r="R9" s="1"/>
      <c r="S9" s="1"/>
      <c r="T9" s="1"/>
      <c r="U9" s="1"/>
      <c r="V9" s="1"/>
      <c r="W9" s="1"/>
      <c r="X9" s="1"/>
      <c r="Y9" s="1"/>
      <c r="Z9" s="1"/>
    </row>
    <row r="10" spans="1:26" ht="28.5" customHeight="1" x14ac:dyDescent="0.25">
      <c r="A10" s="1"/>
      <c r="B10" s="11"/>
      <c r="C10" s="11"/>
      <c r="D10" s="11"/>
      <c r="E10" s="11"/>
      <c r="F10" s="1"/>
      <c r="G10" s="1"/>
      <c r="H10" s="1"/>
      <c r="I10" s="1"/>
      <c r="J10" s="1"/>
      <c r="K10" s="1"/>
      <c r="L10" s="1"/>
      <c r="M10" s="1"/>
      <c r="N10" s="1"/>
      <c r="O10" s="1"/>
      <c r="P10" s="1"/>
      <c r="Q10" s="1"/>
      <c r="R10" s="1"/>
      <c r="S10" s="1"/>
      <c r="T10" s="1"/>
      <c r="U10" s="1"/>
      <c r="V10" s="1"/>
      <c r="W10" s="1"/>
      <c r="X10" s="1"/>
      <c r="Y10" s="1"/>
      <c r="Z10" s="1"/>
    </row>
    <row r="11" spans="1:26" ht="28.5" customHeight="1" x14ac:dyDescent="0.25">
      <c r="A11" s="1"/>
      <c r="B11" s="11"/>
      <c r="C11" s="11"/>
      <c r="D11" s="11"/>
      <c r="E11" s="11"/>
      <c r="F11" s="1"/>
      <c r="G11" s="1"/>
      <c r="H11" s="1"/>
      <c r="I11" s="1"/>
      <c r="J11" s="1"/>
      <c r="K11" s="1"/>
      <c r="L11" s="1"/>
      <c r="M11" s="1"/>
      <c r="N11" s="1"/>
      <c r="O11" s="1"/>
      <c r="P11" s="1"/>
      <c r="Q11" s="1"/>
      <c r="R11" s="1"/>
      <c r="S11" s="1"/>
      <c r="T11" s="1"/>
      <c r="U11" s="1"/>
      <c r="V11" s="1"/>
      <c r="W11" s="1"/>
      <c r="X11" s="1"/>
      <c r="Y11" s="1"/>
      <c r="Z11" s="1"/>
    </row>
    <row r="12" spans="1:26" ht="28.5" customHeight="1" x14ac:dyDescent="0.25">
      <c r="A12" s="1"/>
      <c r="B12" s="11"/>
      <c r="C12" s="11"/>
      <c r="D12" s="11"/>
      <c r="E12" s="11"/>
      <c r="F12" s="1"/>
      <c r="G12" s="1"/>
      <c r="H12" s="1"/>
      <c r="I12" s="1"/>
      <c r="J12" s="1"/>
      <c r="K12" s="1"/>
      <c r="L12" s="1"/>
      <c r="M12" s="1"/>
      <c r="N12" s="1"/>
      <c r="O12" s="1"/>
      <c r="P12" s="1"/>
      <c r="Q12" s="1"/>
      <c r="R12" s="1"/>
      <c r="S12" s="1"/>
      <c r="T12" s="1"/>
      <c r="U12" s="1"/>
      <c r="V12" s="1"/>
      <c r="W12" s="1"/>
      <c r="X12" s="1"/>
      <c r="Y12" s="1"/>
      <c r="Z12" s="1"/>
    </row>
    <row r="13" spans="1:26" ht="28.5" customHeight="1" x14ac:dyDescent="0.25">
      <c r="A13" s="1"/>
      <c r="B13" s="11"/>
      <c r="C13" s="11"/>
      <c r="D13" s="11"/>
      <c r="E13" s="11"/>
      <c r="F13" s="1"/>
      <c r="G13" s="1"/>
      <c r="H13" s="1"/>
      <c r="I13" s="1"/>
      <c r="J13" s="1"/>
      <c r="K13" s="1"/>
      <c r="L13" s="1"/>
      <c r="M13" s="1"/>
      <c r="N13" s="1"/>
      <c r="O13" s="1"/>
      <c r="P13" s="1"/>
      <c r="Q13" s="1"/>
      <c r="R13" s="1"/>
      <c r="S13" s="1"/>
      <c r="T13" s="1"/>
      <c r="U13" s="1"/>
      <c r="V13" s="1"/>
      <c r="W13" s="1"/>
      <c r="X13" s="1"/>
      <c r="Y13" s="1"/>
      <c r="Z13" s="1"/>
    </row>
    <row r="14" spans="1:26" ht="28.5" customHeight="1" x14ac:dyDescent="0.25">
      <c r="A14" s="1"/>
      <c r="B14" s="11"/>
      <c r="C14" s="11"/>
      <c r="D14" s="11"/>
      <c r="E14" s="11"/>
      <c r="F14" s="1"/>
      <c r="G14" s="1"/>
      <c r="H14" s="1"/>
      <c r="I14" s="1"/>
      <c r="J14" s="1"/>
      <c r="K14" s="1"/>
      <c r="L14" s="1"/>
      <c r="M14" s="1"/>
      <c r="N14" s="1"/>
      <c r="O14" s="1"/>
      <c r="P14" s="1"/>
      <c r="Q14" s="1"/>
      <c r="R14" s="1"/>
      <c r="S14" s="1"/>
      <c r="T14" s="1"/>
      <c r="U14" s="1"/>
      <c r="V14" s="1"/>
      <c r="W14" s="1"/>
      <c r="X14" s="1"/>
      <c r="Y14" s="1"/>
      <c r="Z14" s="1"/>
    </row>
    <row r="15" spans="1:26" ht="28.5" customHeight="1" x14ac:dyDescent="0.25">
      <c r="A15" s="1"/>
      <c r="B15" s="11"/>
      <c r="C15" s="11"/>
      <c r="D15" s="11"/>
      <c r="E15" s="11"/>
      <c r="F15" s="1"/>
      <c r="G15" s="1"/>
      <c r="H15" s="1"/>
      <c r="I15" s="1"/>
      <c r="J15" s="1"/>
      <c r="K15" s="1"/>
      <c r="L15" s="1"/>
      <c r="M15" s="1"/>
      <c r="N15" s="1"/>
      <c r="O15" s="1"/>
      <c r="P15" s="1"/>
      <c r="Q15" s="1"/>
      <c r="R15" s="1"/>
      <c r="S15" s="1"/>
      <c r="T15" s="1"/>
      <c r="U15" s="1"/>
      <c r="V15" s="1"/>
      <c r="W15" s="1"/>
      <c r="X15" s="1"/>
      <c r="Y15" s="1"/>
      <c r="Z15" s="1"/>
    </row>
    <row r="16" spans="1:26" ht="28.5" customHeight="1" x14ac:dyDescent="0.25">
      <c r="A16" s="1"/>
      <c r="B16" s="11"/>
      <c r="C16" s="11"/>
      <c r="D16" s="11"/>
      <c r="E16" s="11"/>
      <c r="F16" s="1"/>
      <c r="G16" s="1"/>
      <c r="H16" s="1"/>
      <c r="I16" s="1"/>
      <c r="J16" s="1"/>
      <c r="K16" s="1"/>
      <c r="L16" s="1"/>
      <c r="M16" s="1"/>
      <c r="N16" s="1"/>
      <c r="O16" s="1"/>
      <c r="P16" s="1"/>
      <c r="Q16" s="1"/>
      <c r="R16" s="1"/>
      <c r="S16" s="1"/>
      <c r="T16" s="1"/>
      <c r="U16" s="1"/>
      <c r="V16" s="1"/>
      <c r="W16" s="1"/>
      <c r="X16" s="1"/>
      <c r="Y16" s="1"/>
      <c r="Z16" s="1"/>
    </row>
    <row r="17" spans="1:26" ht="28.5" customHeight="1" x14ac:dyDescent="0.25">
      <c r="A17" s="1"/>
      <c r="B17" s="11"/>
      <c r="C17" s="11"/>
      <c r="D17" s="11"/>
      <c r="E17" s="11"/>
      <c r="F17" s="1"/>
      <c r="G17" s="1"/>
      <c r="H17" s="1"/>
      <c r="I17" s="1"/>
      <c r="J17" s="1"/>
      <c r="K17" s="1"/>
      <c r="L17" s="1"/>
      <c r="M17" s="1"/>
      <c r="N17" s="1"/>
      <c r="O17" s="1"/>
      <c r="P17" s="1"/>
      <c r="Q17" s="1"/>
      <c r="R17" s="1"/>
      <c r="S17" s="1"/>
      <c r="T17" s="1"/>
      <c r="U17" s="1"/>
      <c r="V17" s="1"/>
      <c r="W17" s="1"/>
      <c r="X17" s="1"/>
      <c r="Y17" s="1"/>
      <c r="Z17" s="1"/>
    </row>
    <row r="18" spans="1:26" ht="28.5" customHeight="1" x14ac:dyDescent="0.25">
      <c r="A18" s="1"/>
      <c r="B18" s="11"/>
      <c r="C18" s="11"/>
      <c r="D18" s="11"/>
      <c r="E18" s="11"/>
      <c r="F18" s="1"/>
      <c r="G18" s="1"/>
      <c r="H18" s="1"/>
      <c r="I18" s="1"/>
      <c r="J18" s="1"/>
      <c r="K18" s="1"/>
      <c r="L18" s="1"/>
      <c r="M18" s="1"/>
      <c r="N18" s="1"/>
      <c r="O18" s="1"/>
      <c r="P18" s="1"/>
      <c r="Q18" s="1"/>
      <c r="R18" s="1"/>
      <c r="S18" s="1"/>
      <c r="T18" s="1"/>
      <c r="U18" s="1"/>
      <c r="V18" s="1"/>
      <c r="W18" s="1"/>
      <c r="X18" s="1"/>
      <c r="Y18" s="1"/>
      <c r="Z18" s="1"/>
    </row>
    <row r="19" spans="1:26" ht="28.5" customHeight="1" x14ac:dyDescent="0.25">
      <c r="A19" s="1"/>
      <c r="B19" s="11"/>
      <c r="C19" s="11"/>
      <c r="D19" s="11"/>
      <c r="E19" s="11"/>
      <c r="F19" s="1"/>
      <c r="G19" s="1"/>
      <c r="H19" s="1"/>
      <c r="I19" s="1"/>
      <c r="J19" s="1"/>
      <c r="K19" s="1"/>
      <c r="L19" s="1"/>
      <c r="M19" s="1"/>
      <c r="N19" s="1"/>
      <c r="O19" s="1"/>
      <c r="P19" s="1"/>
      <c r="Q19" s="1"/>
      <c r="R19" s="1"/>
      <c r="S19" s="1"/>
      <c r="T19" s="1"/>
      <c r="U19" s="1"/>
      <c r="V19" s="1"/>
      <c r="W19" s="1"/>
      <c r="X19" s="1"/>
      <c r="Y19" s="1"/>
      <c r="Z19" s="1"/>
    </row>
    <row r="20" spans="1:26" ht="28.5" customHeight="1" x14ac:dyDescent="0.25">
      <c r="A20" s="1"/>
      <c r="B20" s="11"/>
      <c r="C20" s="11"/>
      <c r="D20" s="11"/>
      <c r="E20" s="11"/>
      <c r="F20" s="1"/>
      <c r="G20" s="1"/>
      <c r="H20" s="1"/>
      <c r="I20" s="1"/>
      <c r="J20" s="1"/>
      <c r="K20" s="1"/>
      <c r="L20" s="1"/>
      <c r="M20" s="1"/>
      <c r="N20" s="1"/>
      <c r="O20" s="1"/>
      <c r="P20" s="1"/>
      <c r="Q20" s="1"/>
      <c r="R20" s="1"/>
      <c r="S20" s="1"/>
      <c r="T20" s="1"/>
      <c r="U20" s="1"/>
      <c r="V20" s="1"/>
      <c r="W20" s="1"/>
      <c r="X20" s="1"/>
      <c r="Y20" s="1"/>
      <c r="Z20" s="1"/>
    </row>
    <row r="21" spans="1:26" ht="28.5" customHeight="1" x14ac:dyDescent="0.25">
      <c r="A21" s="1"/>
      <c r="B21" s="11"/>
      <c r="C21" s="11"/>
      <c r="D21" s="11"/>
      <c r="E21" s="11"/>
      <c r="F21" s="1"/>
      <c r="G21" s="1"/>
      <c r="H21" s="1"/>
      <c r="I21" s="1"/>
      <c r="J21" s="1"/>
      <c r="K21" s="1"/>
      <c r="L21" s="1"/>
      <c r="M21" s="1"/>
      <c r="N21" s="1"/>
      <c r="O21" s="1"/>
      <c r="P21" s="1"/>
      <c r="Q21" s="1"/>
      <c r="R21" s="1"/>
      <c r="S21" s="1"/>
      <c r="T21" s="1"/>
      <c r="U21" s="1"/>
      <c r="V21" s="1"/>
      <c r="W21" s="1"/>
      <c r="X21" s="1"/>
      <c r="Y21" s="1"/>
      <c r="Z21" s="1"/>
    </row>
    <row r="22" spans="1:26" ht="28.5" customHeight="1" x14ac:dyDescent="0.25">
      <c r="A22" s="1"/>
      <c r="B22" s="11"/>
      <c r="C22" s="11"/>
      <c r="D22" s="11"/>
      <c r="E22" s="11"/>
      <c r="F22" s="1"/>
      <c r="G22" s="1"/>
      <c r="H22" s="1"/>
      <c r="I22" s="1"/>
      <c r="J22" s="1"/>
      <c r="K22" s="1"/>
      <c r="L22" s="1"/>
      <c r="M22" s="1"/>
      <c r="N22" s="1"/>
      <c r="O22" s="1"/>
      <c r="P22" s="1"/>
      <c r="Q22" s="1"/>
      <c r="R22" s="1"/>
      <c r="S22" s="1"/>
      <c r="T22" s="1"/>
      <c r="U22" s="1"/>
      <c r="V22" s="1"/>
      <c r="W22" s="1"/>
      <c r="X22" s="1"/>
      <c r="Y22" s="1"/>
      <c r="Z22" s="1"/>
    </row>
    <row r="23" spans="1:26" ht="28.5" customHeight="1" x14ac:dyDescent="0.25">
      <c r="A23" s="1"/>
      <c r="B23" s="11"/>
      <c r="C23" s="11"/>
      <c r="D23" s="11"/>
      <c r="E23" s="11"/>
      <c r="F23" s="1"/>
      <c r="G23" s="1"/>
      <c r="H23" s="1"/>
      <c r="I23" s="1"/>
      <c r="J23" s="1"/>
      <c r="K23" s="1"/>
      <c r="L23" s="1"/>
      <c r="M23" s="1"/>
      <c r="N23" s="1"/>
      <c r="O23" s="1"/>
      <c r="P23" s="1"/>
      <c r="Q23" s="1"/>
      <c r="R23" s="1"/>
      <c r="S23" s="1"/>
      <c r="T23" s="1"/>
      <c r="U23" s="1"/>
      <c r="V23" s="1"/>
      <c r="W23" s="1"/>
      <c r="X23" s="1"/>
      <c r="Y23" s="1"/>
      <c r="Z23" s="1"/>
    </row>
    <row r="24" spans="1:26" ht="27.75" customHeight="1" x14ac:dyDescent="0.25">
      <c r="A24" s="1"/>
      <c r="B24" s="59" t="s">
        <v>74</v>
      </c>
      <c r="C24" s="61" t="s">
        <v>76</v>
      </c>
      <c r="D24" s="70" t="s">
        <v>78</v>
      </c>
      <c r="E24" s="63" t="s">
        <v>79</v>
      </c>
      <c r="F24" s="64"/>
      <c r="G24" s="65"/>
      <c r="H24" s="1"/>
      <c r="I24" s="1"/>
      <c r="J24" s="1"/>
      <c r="K24" s="1"/>
      <c r="L24" s="1"/>
      <c r="M24" s="1"/>
      <c r="N24" s="1"/>
      <c r="O24" s="1"/>
      <c r="P24" s="1"/>
      <c r="Q24" s="1"/>
      <c r="R24" s="1"/>
      <c r="S24" s="1"/>
      <c r="T24" s="1"/>
      <c r="U24" s="1"/>
      <c r="V24" s="1"/>
      <c r="W24" s="1"/>
      <c r="X24" s="1"/>
      <c r="Y24" s="1"/>
      <c r="Z24" s="1"/>
    </row>
    <row r="25" spans="1:26" ht="21" customHeight="1" x14ac:dyDescent="0.25">
      <c r="A25" s="1"/>
      <c r="B25" s="60"/>
      <c r="C25" s="62"/>
      <c r="D25" s="71"/>
      <c r="E25" s="12" t="s">
        <v>83</v>
      </c>
      <c r="F25" s="13" t="s">
        <v>84</v>
      </c>
      <c r="G25" s="13" t="s">
        <v>86</v>
      </c>
      <c r="H25" s="1"/>
      <c r="I25" s="1"/>
      <c r="J25" s="1"/>
      <c r="K25" s="1"/>
      <c r="L25" s="1"/>
      <c r="M25" s="1"/>
      <c r="N25" s="1"/>
      <c r="O25" s="1"/>
      <c r="P25" s="1"/>
      <c r="Q25" s="1"/>
      <c r="R25" s="1"/>
      <c r="S25" s="1"/>
      <c r="T25" s="1"/>
      <c r="U25" s="1"/>
      <c r="V25" s="1"/>
      <c r="W25" s="1"/>
      <c r="X25" s="1"/>
      <c r="Y25" s="1"/>
      <c r="Z25" s="1"/>
    </row>
    <row r="26" spans="1:26" ht="12.75" customHeight="1" x14ac:dyDescent="0.25">
      <c r="A26" s="1"/>
      <c r="B26" s="9"/>
      <c r="C26" s="9"/>
      <c r="D26" s="1"/>
      <c r="E26" s="2"/>
      <c r="F26" s="1"/>
      <c r="G26" s="1"/>
      <c r="H26" s="1"/>
      <c r="I26" s="1"/>
      <c r="J26" s="1"/>
      <c r="K26" s="1"/>
      <c r="L26" s="1"/>
      <c r="M26" s="1"/>
      <c r="N26" s="1"/>
      <c r="O26" s="1"/>
      <c r="P26" s="1"/>
      <c r="Q26" s="1"/>
      <c r="R26" s="1"/>
      <c r="S26" s="1"/>
      <c r="T26" s="1"/>
      <c r="U26" s="1"/>
      <c r="V26" s="1"/>
      <c r="W26" s="1"/>
      <c r="X26" s="1"/>
      <c r="Y26" s="1"/>
      <c r="Z26" s="1"/>
    </row>
    <row r="27" spans="1:26" ht="45.75" customHeight="1" x14ac:dyDescent="0.25">
      <c r="A27" s="1"/>
      <c r="B27" s="14" t="s">
        <v>92</v>
      </c>
      <c r="C27" s="15" t="s">
        <v>94</v>
      </c>
      <c r="D27" s="16" t="s">
        <v>95</v>
      </c>
      <c r="E27" s="17">
        <v>2014</v>
      </c>
      <c r="F27" s="18">
        <v>2017</v>
      </c>
      <c r="G27" s="18">
        <v>2019</v>
      </c>
      <c r="H27" s="1"/>
      <c r="I27" s="1"/>
      <c r="J27" s="1"/>
      <c r="K27" s="1"/>
      <c r="L27" s="1"/>
      <c r="M27" s="1"/>
      <c r="N27" s="1"/>
      <c r="O27" s="1"/>
      <c r="P27" s="1"/>
      <c r="Q27" s="1"/>
      <c r="R27" s="1"/>
      <c r="S27" s="1"/>
      <c r="T27" s="1"/>
      <c r="U27" s="1"/>
      <c r="V27" s="1"/>
      <c r="W27" s="1"/>
      <c r="X27" s="1"/>
      <c r="Y27" s="1"/>
      <c r="Z27" s="1"/>
    </row>
    <row r="28" spans="1:26" ht="45.75" customHeight="1" x14ac:dyDescent="0.25">
      <c r="A28" s="1"/>
      <c r="B28" s="19" t="s">
        <v>98</v>
      </c>
      <c r="C28" s="15" t="s">
        <v>100</v>
      </c>
      <c r="D28" s="16" t="s">
        <v>95</v>
      </c>
      <c r="E28" s="17">
        <v>2014</v>
      </c>
      <c r="F28" s="18">
        <v>2017</v>
      </c>
      <c r="G28" s="18">
        <v>2019</v>
      </c>
      <c r="H28" s="1"/>
      <c r="I28" s="1"/>
      <c r="J28" s="1"/>
      <c r="K28" s="1"/>
      <c r="L28" s="1"/>
      <c r="M28" s="1"/>
      <c r="N28" s="1"/>
      <c r="O28" s="1"/>
      <c r="P28" s="1"/>
      <c r="Q28" s="1"/>
      <c r="R28" s="1"/>
      <c r="S28" s="1"/>
      <c r="T28" s="1"/>
      <c r="U28" s="1"/>
      <c r="V28" s="1"/>
      <c r="W28" s="1"/>
      <c r="X28" s="1"/>
      <c r="Y28" s="1"/>
      <c r="Z28" s="1"/>
    </row>
    <row r="29" spans="1:26" ht="45.75" customHeight="1" x14ac:dyDescent="0.25">
      <c r="A29" s="1"/>
      <c r="B29" s="19" t="s">
        <v>102</v>
      </c>
      <c r="C29" s="15" t="s">
        <v>103</v>
      </c>
      <c r="D29" s="16" t="s">
        <v>95</v>
      </c>
      <c r="E29" s="17">
        <v>2014</v>
      </c>
      <c r="F29" s="18">
        <v>2017</v>
      </c>
      <c r="G29" s="18">
        <v>2019</v>
      </c>
      <c r="H29" s="1"/>
      <c r="I29" s="1"/>
      <c r="J29" s="1"/>
      <c r="K29" s="1"/>
      <c r="L29" s="1"/>
      <c r="M29" s="1"/>
      <c r="N29" s="1"/>
      <c r="O29" s="1"/>
      <c r="P29" s="1"/>
      <c r="Q29" s="1"/>
      <c r="R29" s="1"/>
      <c r="S29" s="1"/>
      <c r="T29" s="1"/>
      <c r="U29" s="1"/>
      <c r="V29" s="1"/>
      <c r="W29" s="1"/>
      <c r="X29" s="1"/>
      <c r="Y29" s="1"/>
      <c r="Z29" s="1"/>
    </row>
    <row r="30" spans="1:26" ht="45.75" customHeight="1" x14ac:dyDescent="0.25">
      <c r="A30" s="1"/>
      <c r="B30" s="19" t="s">
        <v>104</v>
      </c>
      <c r="C30" s="15" t="s">
        <v>105</v>
      </c>
      <c r="D30" s="16" t="s">
        <v>106</v>
      </c>
      <c r="E30" s="17">
        <v>2014</v>
      </c>
      <c r="F30" s="18">
        <v>2014</v>
      </c>
      <c r="G30" s="18">
        <v>2019</v>
      </c>
      <c r="H30" s="1"/>
      <c r="I30" s="1"/>
      <c r="J30" s="1"/>
      <c r="K30" s="1"/>
      <c r="L30" s="1"/>
      <c r="M30" s="1"/>
      <c r="N30" s="1"/>
      <c r="O30" s="1"/>
      <c r="P30" s="1"/>
      <c r="Q30" s="1"/>
      <c r="R30" s="1"/>
      <c r="S30" s="1"/>
      <c r="T30" s="1"/>
      <c r="U30" s="1"/>
      <c r="V30" s="1"/>
      <c r="W30" s="1"/>
      <c r="X30" s="1"/>
      <c r="Y30" s="1"/>
      <c r="Z30" s="1"/>
    </row>
    <row r="31" spans="1:26" ht="45.75" customHeight="1" x14ac:dyDescent="0.25">
      <c r="A31" s="1"/>
      <c r="B31" s="19" t="s">
        <v>107</v>
      </c>
      <c r="C31" s="14" t="s">
        <v>108</v>
      </c>
      <c r="D31" s="16" t="s">
        <v>109</v>
      </c>
      <c r="E31" s="18">
        <v>2010</v>
      </c>
      <c r="F31" s="18">
        <v>2010</v>
      </c>
      <c r="G31" s="18">
        <v>2010</v>
      </c>
      <c r="H31" s="1"/>
      <c r="I31" s="1"/>
      <c r="J31" s="1"/>
      <c r="K31" s="1"/>
      <c r="L31" s="1"/>
      <c r="M31" s="1"/>
      <c r="N31" s="1"/>
      <c r="O31" s="1"/>
      <c r="P31" s="1"/>
      <c r="Q31" s="1"/>
      <c r="R31" s="1"/>
      <c r="S31" s="1"/>
      <c r="T31" s="1"/>
      <c r="U31" s="1"/>
      <c r="V31" s="1"/>
      <c r="W31" s="1"/>
      <c r="X31" s="1"/>
      <c r="Y31" s="1"/>
      <c r="Z31" s="1"/>
    </row>
    <row r="32" spans="1:26" ht="45.75" customHeight="1" x14ac:dyDescent="0.3">
      <c r="A32" s="20"/>
      <c r="B32" s="21" t="s">
        <v>110</v>
      </c>
      <c r="C32" s="22" t="s">
        <v>112</v>
      </c>
      <c r="D32" s="16" t="s">
        <v>109</v>
      </c>
      <c r="E32" s="18">
        <v>2010</v>
      </c>
      <c r="F32" s="18">
        <v>2010</v>
      </c>
      <c r="G32" s="18">
        <v>2010</v>
      </c>
      <c r="H32" s="1"/>
      <c r="I32" s="1"/>
      <c r="J32" s="1"/>
      <c r="K32" s="1"/>
      <c r="L32" s="1"/>
      <c r="M32" s="1"/>
      <c r="N32" s="1"/>
      <c r="O32" s="1"/>
      <c r="P32" s="1"/>
      <c r="Q32" s="1"/>
      <c r="R32" s="1"/>
      <c r="S32" s="1"/>
      <c r="T32" s="1"/>
      <c r="U32" s="1"/>
      <c r="V32" s="1"/>
      <c r="W32" s="1"/>
      <c r="X32" s="1"/>
      <c r="Y32" s="1"/>
      <c r="Z32" s="1"/>
    </row>
    <row r="33" spans="1:26" ht="45.75" customHeight="1" x14ac:dyDescent="0.25">
      <c r="A33" s="1"/>
      <c r="B33" s="21" t="s">
        <v>113</v>
      </c>
      <c r="C33" s="22" t="s">
        <v>114</v>
      </c>
      <c r="D33" s="16" t="s">
        <v>109</v>
      </c>
      <c r="E33" s="18">
        <v>2010</v>
      </c>
      <c r="F33" s="18">
        <v>2010</v>
      </c>
      <c r="G33" s="18">
        <v>2010</v>
      </c>
      <c r="H33" s="1"/>
      <c r="I33" s="1"/>
      <c r="J33" s="1"/>
      <c r="K33" s="1"/>
      <c r="L33" s="1"/>
      <c r="M33" s="1"/>
      <c r="N33" s="1"/>
      <c r="O33" s="1"/>
      <c r="P33" s="1"/>
      <c r="Q33" s="1"/>
      <c r="R33" s="1"/>
      <c r="S33" s="1"/>
      <c r="T33" s="1"/>
      <c r="U33" s="1"/>
      <c r="V33" s="1"/>
      <c r="W33" s="1"/>
      <c r="X33" s="1"/>
      <c r="Y33" s="1"/>
      <c r="Z33" s="1"/>
    </row>
    <row r="34" spans="1:26" ht="45.75" customHeight="1" x14ac:dyDescent="0.25">
      <c r="A34" s="1"/>
      <c r="B34" s="19" t="s">
        <v>115</v>
      </c>
      <c r="C34" s="14" t="s">
        <v>116</v>
      </c>
      <c r="D34" s="16" t="s">
        <v>117</v>
      </c>
      <c r="E34" s="10">
        <v>2013</v>
      </c>
      <c r="F34" s="18">
        <v>2017</v>
      </c>
      <c r="G34" s="18">
        <v>2019</v>
      </c>
      <c r="H34" s="1"/>
      <c r="I34" s="1"/>
      <c r="J34" s="1"/>
      <c r="K34" s="1"/>
      <c r="L34" s="1"/>
      <c r="M34" s="1"/>
      <c r="N34" s="1"/>
      <c r="O34" s="1"/>
      <c r="P34" s="1"/>
      <c r="Q34" s="1"/>
      <c r="R34" s="1"/>
      <c r="S34" s="1"/>
      <c r="T34" s="1"/>
      <c r="U34" s="1"/>
      <c r="V34" s="1"/>
      <c r="W34" s="1"/>
      <c r="X34" s="1"/>
      <c r="Y34" s="1"/>
      <c r="Z34" s="1"/>
    </row>
    <row r="35" spans="1:26" ht="45.75" customHeight="1" x14ac:dyDescent="0.25">
      <c r="A35" s="1"/>
      <c r="B35" s="23" t="s">
        <v>118</v>
      </c>
      <c r="C35" s="14" t="s">
        <v>119</v>
      </c>
      <c r="D35" s="16" t="s">
        <v>109</v>
      </c>
      <c r="E35" s="18">
        <v>2010</v>
      </c>
      <c r="F35" s="18">
        <v>2010</v>
      </c>
      <c r="G35" s="18">
        <v>2010</v>
      </c>
      <c r="H35" s="1"/>
      <c r="I35" s="1"/>
      <c r="J35" s="1"/>
      <c r="K35" s="1"/>
      <c r="L35" s="1"/>
      <c r="M35" s="1"/>
      <c r="N35" s="1"/>
      <c r="O35" s="1"/>
      <c r="P35" s="1"/>
      <c r="Q35" s="1"/>
      <c r="R35" s="1"/>
      <c r="S35" s="1"/>
      <c r="T35" s="1"/>
      <c r="U35" s="1"/>
      <c r="V35" s="1"/>
      <c r="W35" s="1"/>
      <c r="X35" s="1"/>
      <c r="Y35" s="1"/>
      <c r="Z35" s="1"/>
    </row>
    <row r="36" spans="1:26" ht="45.75" customHeight="1" x14ac:dyDescent="0.25">
      <c r="A36" s="1"/>
      <c r="B36" s="23" t="s">
        <v>120</v>
      </c>
      <c r="C36" s="14" t="s">
        <v>121</v>
      </c>
      <c r="D36" s="16" t="s">
        <v>109</v>
      </c>
      <c r="E36" s="18">
        <v>2010</v>
      </c>
      <c r="F36" s="18">
        <v>2010</v>
      </c>
      <c r="G36" s="18">
        <v>2010</v>
      </c>
      <c r="H36" s="1"/>
      <c r="I36" s="1"/>
      <c r="J36" s="1"/>
      <c r="K36" s="1"/>
      <c r="L36" s="1"/>
      <c r="M36" s="1"/>
      <c r="N36" s="1"/>
      <c r="O36" s="1"/>
      <c r="P36" s="1"/>
      <c r="Q36" s="1"/>
      <c r="R36" s="1"/>
      <c r="S36" s="1"/>
      <c r="T36" s="1"/>
      <c r="U36" s="1"/>
      <c r="V36" s="1"/>
      <c r="W36" s="1"/>
      <c r="X36" s="1"/>
      <c r="Y36" s="1"/>
      <c r="Z36" s="1"/>
    </row>
    <row r="37" spans="1:26" ht="45.75" customHeight="1" x14ac:dyDescent="0.25">
      <c r="A37" s="1"/>
      <c r="B37" s="23" t="s">
        <v>122</v>
      </c>
      <c r="C37" s="14" t="s">
        <v>123</v>
      </c>
      <c r="D37" s="16" t="s">
        <v>124</v>
      </c>
      <c r="E37" s="17">
        <v>2015</v>
      </c>
      <c r="F37" s="18">
        <v>2017</v>
      </c>
      <c r="G37" s="18">
        <v>2019</v>
      </c>
      <c r="H37" s="1"/>
      <c r="I37" s="1"/>
      <c r="J37" s="1"/>
      <c r="K37" s="1"/>
      <c r="L37" s="1"/>
      <c r="M37" s="1"/>
      <c r="N37" s="1"/>
      <c r="O37" s="1"/>
      <c r="P37" s="1"/>
      <c r="Q37" s="1"/>
      <c r="R37" s="1"/>
      <c r="S37" s="1"/>
      <c r="T37" s="1"/>
      <c r="U37" s="1"/>
      <c r="V37" s="1"/>
      <c r="W37" s="1"/>
      <c r="X37" s="1"/>
      <c r="Y37" s="1"/>
      <c r="Z37" s="1"/>
    </row>
    <row r="38" spans="1:26" ht="45.75" customHeight="1" x14ac:dyDescent="0.25">
      <c r="A38" s="1"/>
      <c r="B38" s="23" t="s">
        <v>125</v>
      </c>
      <c r="C38" s="14" t="s">
        <v>126</v>
      </c>
      <c r="D38" s="16" t="s">
        <v>124</v>
      </c>
      <c r="E38" s="17">
        <v>2015</v>
      </c>
      <c r="F38" s="18">
        <v>2017</v>
      </c>
      <c r="G38" s="18">
        <v>2019</v>
      </c>
      <c r="H38" s="1"/>
      <c r="I38" s="1"/>
      <c r="J38" s="1"/>
      <c r="K38" s="1"/>
      <c r="L38" s="1"/>
      <c r="M38" s="1"/>
      <c r="N38" s="1"/>
      <c r="O38" s="1"/>
      <c r="P38" s="1"/>
      <c r="Q38" s="1"/>
      <c r="R38" s="1"/>
      <c r="S38" s="1"/>
      <c r="T38" s="1"/>
      <c r="U38" s="1"/>
      <c r="V38" s="1"/>
      <c r="W38" s="1"/>
      <c r="X38" s="1"/>
      <c r="Y38" s="1"/>
      <c r="Z38" s="1"/>
    </row>
    <row r="39" spans="1:26" ht="45.75" customHeight="1" x14ac:dyDescent="0.25">
      <c r="A39" s="1"/>
      <c r="B39" s="23" t="s">
        <v>127</v>
      </c>
      <c r="C39" s="9" t="s">
        <v>128</v>
      </c>
      <c r="D39" s="16" t="s">
        <v>129</v>
      </c>
      <c r="E39" s="17">
        <v>2014</v>
      </c>
      <c r="F39" s="18">
        <v>2016</v>
      </c>
      <c r="G39" s="18">
        <v>2016</v>
      </c>
      <c r="H39" s="1"/>
      <c r="I39" s="1"/>
      <c r="J39" s="1"/>
      <c r="K39" s="1"/>
      <c r="L39" s="1"/>
      <c r="M39" s="1"/>
      <c r="N39" s="1"/>
      <c r="O39" s="1"/>
      <c r="P39" s="1"/>
      <c r="Q39" s="1"/>
      <c r="R39" s="1"/>
      <c r="S39" s="1"/>
      <c r="T39" s="1"/>
      <c r="U39" s="1"/>
      <c r="V39" s="1"/>
      <c r="W39" s="1"/>
      <c r="X39" s="1"/>
      <c r="Y39" s="1"/>
      <c r="Z39" s="1"/>
    </row>
    <row r="40" spans="1:26" ht="45.75" customHeight="1" x14ac:dyDescent="0.25">
      <c r="A40" s="1"/>
      <c r="B40" s="19" t="s">
        <v>130</v>
      </c>
      <c r="C40" s="14" t="s">
        <v>131</v>
      </c>
      <c r="D40" s="16" t="s">
        <v>132</v>
      </c>
      <c r="E40" s="17">
        <v>2013</v>
      </c>
      <c r="F40" s="18">
        <v>2017</v>
      </c>
      <c r="G40" s="18">
        <v>2019</v>
      </c>
      <c r="H40" s="1"/>
      <c r="I40" s="1"/>
      <c r="J40" s="1"/>
      <c r="K40" s="1"/>
      <c r="L40" s="1"/>
      <c r="M40" s="1"/>
      <c r="N40" s="1"/>
      <c r="O40" s="1"/>
      <c r="P40" s="1"/>
      <c r="Q40" s="1"/>
      <c r="R40" s="1"/>
      <c r="S40" s="1"/>
      <c r="T40" s="1"/>
      <c r="U40" s="1"/>
      <c r="V40" s="1"/>
      <c r="W40" s="1"/>
      <c r="X40" s="1"/>
      <c r="Y40" s="1"/>
      <c r="Z40" s="1"/>
    </row>
    <row r="41" spans="1:26" ht="45.75" customHeight="1" x14ac:dyDescent="0.25">
      <c r="A41" s="1"/>
      <c r="B41" s="19" t="s">
        <v>133</v>
      </c>
      <c r="C41" s="14" t="s">
        <v>134</v>
      </c>
      <c r="D41" s="16" t="s">
        <v>132</v>
      </c>
      <c r="E41" s="17">
        <v>2013</v>
      </c>
      <c r="F41" s="18">
        <v>2017</v>
      </c>
      <c r="G41" s="18">
        <v>2019</v>
      </c>
      <c r="H41" s="1"/>
      <c r="I41" s="1"/>
      <c r="J41" s="1"/>
      <c r="K41" s="1"/>
      <c r="L41" s="1"/>
      <c r="M41" s="1"/>
      <c r="N41" s="1"/>
      <c r="O41" s="1"/>
      <c r="P41" s="1"/>
      <c r="Q41" s="1"/>
      <c r="R41" s="1"/>
      <c r="S41" s="1"/>
      <c r="T41" s="1"/>
      <c r="U41" s="1"/>
      <c r="V41" s="1"/>
      <c r="W41" s="1"/>
      <c r="X41" s="1"/>
      <c r="Y41" s="1"/>
      <c r="Z41" s="1"/>
    </row>
    <row r="42" spans="1:26" ht="45.75" customHeight="1" x14ac:dyDescent="0.25">
      <c r="A42" s="1"/>
      <c r="B42" s="19" t="s">
        <v>135</v>
      </c>
      <c r="C42" s="14" t="s">
        <v>136</v>
      </c>
      <c r="D42" s="16" t="s">
        <v>137</v>
      </c>
      <c r="E42" s="17">
        <v>2013</v>
      </c>
      <c r="F42" s="18">
        <v>2016</v>
      </c>
      <c r="G42" s="18">
        <v>2018</v>
      </c>
      <c r="H42" s="1"/>
      <c r="I42" s="1"/>
      <c r="J42" s="1"/>
      <c r="K42" s="1"/>
      <c r="L42" s="1"/>
      <c r="M42" s="1"/>
      <c r="N42" s="1"/>
      <c r="O42" s="1"/>
      <c r="P42" s="1"/>
      <c r="Q42" s="1"/>
      <c r="R42" s="1"/>
      <c r="S42" s="1"/>
      <c r="T42" s="1"/>
      <c r="U42" s="1"/>
      <c r="V42" s="1"/>
      <c r="W42" s="1"/>
      <c r="X42" s="1"/>
      <c r="Y42" s="1"/>
      <c r="Z42" s="1"/>
    </row>
    <row r="43" spans="1:26" ht="45.75" customHeight="1" x14ac:dyDescent="0.25">
      <c r="A43" s="1"/>
      <c r="B43" s="19" t="s">
        <v>138</v>
      </c>
      <c r="C43" s="14" t="s">
        <v>139</v>
      </c>
      <c r="D43" s="16" t="s">
        <v>109</v>
      </c>
      <c r="E43" s="18">
        <v>2010</v>
      </c>
      <c r="F43" s="18">
        <v>2010</v>
      </c>
      <c r="G43" s="18">
        <v>2010</v>
      </c>
      <c r="H43" s="1"/>
      <c r="I43" s="1"/>
      <c r="J43" s="1"/>
      <c r="K43" s="1"/>
      <c r="L43" s="1"/>
      <c r="M43" s="1"/>
      <c r="N43" s="1"/>
      <c r="O43" s="1"/>
      <c r="P43" s="1"/>
      <c r="Q43" s="1"/>
      <c r="R43" s="1"/>
      <c r="S43" s="1"/>
      <c r="T43" s="1"/>
      <c r="U43" s="1"/>
      <c r="V43" s="1"/>
      <c r="W43" s="1"/>
      <c r="X43" s="1"/>
      <c r="Y43" s="1"/>
      <c r="Z43" s="1"/>
    </row>
    <row r="44" spans="1:26" ht="45.75" customHeight="1" x14ac:dyDescent="0.25">
      <c r="A44" s="1"/>
      <c r="B44" s="19" t="s">
        <v>140</v>
      </c>
      <c r="C44" s="14" t="s">
        <v>141</v>
      </c>
      <c r="D44" s="16" t="s">
        <v>109</v>
      </c>
      <c r="E44" s="17">
        <v>2010</v>
      </c>
      <c r="F44" s="18">
        <v>2010</v>
      </c>
      <c r="G44" s="18">
        <v>2010</v>
      </c>
      <c r="H44" s="1"/>
      <c r="I44" s="1"/>
      <c r="J44" s="1"/>
      <c r="K44" s="1"/>
      <c r="L44" s="1"/>
      <c r="M44" s="1"/>
      <c r="N44" s="1"/>
      <c r="O44" s="1"/>
      <c r="P44" s="1"/>
      <c r="Q44" s="1"/>
      <c r="R44" s="1"/>
      <c r="S44" s="1"/>
      <c r="T44" s="1"/>
      <c r="U44" s="1"/>
      <c r="V44" s="1"/>
      <c r="W44" s="1"/>
      <c r="X44" s="1"/>
      <c r="Y44" s="1"/>
      <c r="Z44" s="1"/>
    </row>
    <row r="45" spans="1:26" ht="45.75" customHeight="1" x14ac:dyDescent="0.25">
      <c r="A45" s="1"/>
      <c r="B45" s="24" t="s">
        <v>142</v>
      </c>
      <c r="C45" s="22" t="s">
        <v>143</v>
      </c>
      <c r="D45" s="16" t="s">
        <v>95</v>
      </c>
      <c r="E45" s="17">
        <v>2015</v>
      </c>
      <c r="F45" s="18">
        <v>2017</v>
      </c>
      <c r="G45" s="18">
        <v>2019</v>
      </c>
      <c r="H45" s="1"/>
      <c r="I45" s="1"/>
      <c r="J45" s="1"/>
      <c r="K45" s="1"/>
      <c r="L45" s="1"/>
      <c r="M45" s="1"/>
      <c r="N45" s="1"/>
      <c r="O45" s="1"/>
      <c r="P45" s="1"/>
      <c r="Q45" s="1"/>
      <c r="R45" s="1"/>
      <c r="S45" s="1"/>
      <c r="T45" s="1"/>
      <c r="U45" s="1"/>
      <c r="V45" s="1"/>
      <c r="W45" s="1"/>
      <c r="X45" s="1"/>
      <c r="Y45" s="1"/>
      <c r="Z45" s="1"/>
    </row>
    <row r="46" spans="1:26" ht="45.75" customHeight="1" x14ac:dyDescent="0.25">
      <c r="A46" s="1"/>
      <c r="B46" s="24" t="s">
        <v>144</v>
      </c>
      <c r="C46" s="22" t="s">
        <v>145</v>
      </c>
      <c r="D46" s="16" t="s">
        <v>95</v>
      </c>
      <c r="E46" s="17">
        <v>2014</v>
      </c>
      <c r="F46" s="18">
        <v>2017</v>
      </c>
      <c r="G46" s="18">
        <v>2019</v>
      </c>
      <c r="H46" s="1"/>
      <c r="I46" s="1"/>
      <c r="J46" s="1"/>
      <c r="K46" s="1"/>
      <c r="L46" s="1"/>
      <c r="M46" s="1"/>
      <c r="N46" s="1"/>
      <c r="O46" s="1"/>
      <c r="P46" s="1"/>
      <c r="Q46" s="1"/>
      <c r="R46" s="1"/>
      <c r="S46" s="1"/>
      <c r="T46" s="1"/>
      <c r="U46" s="1"/>
      <c r="V46" s="1"/>
      <c r="W46" s="1"/>
      <c r="X46" s="1"/>
      <c r="Y46" s="1"/>
      <c r="Z46" s="1"/>
    </row>
    <row r="47" spans="1:26" ht="45.75" customHeight="1" x14ac:dyDescent="0.25">
      <c r="A47" s="1"/>
      <c r="B47" s="24" t="s">
        <v>146</v>
      </c>
      <c r="C47" s="22" t="s">
        <v>147</v>
      </c>
      <c r="D47" s="16" t="s">
        <v>95</v>
      </c>
      <c r="E47" s="17">
        <v>2014</v>
      </c>
      <c r="F47" s="18">
        <v>2017</v>
      </c>
      <c r="G47" s="18">
        <v>2019</v>
      </c>
      <c r="H47" s="1"/>
      <c r="I47" s="1"/>
      <c r="J47" s="1"/>
      <c r="K47" s="1"/>
      <c r="L47" s="1"/>
      <c r="M47" s="1"/>
      <c r="N47" s="1"/>
      <c r="O47" s="1"/>
      <c r="P47" s="1"/>
      <c r="Q47" s="1"/>
      <c r="R47" s="1"/>
      <c r="S47" s="1"/>
      <c r="T47" s="1"/>
      <c r="U47" s="1"/>
      <c r="V47" s="1"/>
      <c r="W47" s="1"/>
      <c r="X47" s="1"/>
      <c r="Y47" s="1"/>
      <c r="Z47" s="1"/>
    </row>
    <row r="48" spans="1:26" ht="45.75" customHeight="1" x14ac:dyDescent="0.25">
      <c r="A48" s="1"/>
      <c r="B48" s="24" t="s">
        <v>148</v>
      </c>
      <c r="C48" s="22" t="s">
        <v>149</v>
      </c>
      <c r="D48" s="16" t="s">
        <v>150</v>
      </c>
      <c r="E48" s="17">
        <v>2015</v>
      </c>
      <c r="F48" s="18">
        <v>2017</v>
      </c>
      <c r="G48" s="18">
        <v>2019</v>
      </c>
      <c r="H48" s="1"/>
      <c r="I48" s="1"/>
      <c r="J48" s="1"/>
      <c r="K48" s="1"/>
      <c r="L48" s="1"/>
      <c r="M48" s="1"/>
      <c r="N48" s="1"/>
      <c r="O48" s="1"/>
      <c r="P48" s="1"/>
      <c r="Q48" s="1"/>
      <c r="R48" s="1"/>
      <c r="S48" s="1"/>
      <c r="T48" s="1"/>
      <c r="U48" s="1"/>
      <c r="V48" s="1"/>
      <c r="W48" s="1"/>
      <c r="X48" s="1"/>
      <c r="Y48" s="1"/>
      <c r="Z48" s="1"/>
    </row>
    <row r="49" spans="1:26" ht="45.75" customHeight="1" x14ac:dyDescent="0.25">
      <c r="A49" s="1"/>
      <c r="B49" s="24" t="s">
        <v>151</v>
      </c>
      <c r="C49" s="22" t="s">
        <v>152</v>
      </c>
      <c r="D49" s="16" t="s">
        <v>117</v>
      </c>
      <c r="E49" s="17">
        <v>2015</v>
      </c>
      <c r="F49" s="25">
        <v>2017</v>
      </c>
      <c r="G49" s="25">
        <v>2019</v>
      </c>
      <c r="H49" s="1"/>
      <c r="I49" s="1"/>
      <c r="J49" s="1"/>
      <c r="K49" s="1"/>
      <c r="L49" s="1"/>
      <c r="M49" s="1"/>
      <c r="N49" s="1"/>
      <c r="O49" s="1"/>
      <c r="P49" s="1"/>
      <c r="Q49" s="1"/>
      <c r="R49" s="1"/>
      <c r="S49" s="1"/>
      <c r="T49" s="1"/>
      <c r="U49" s="1"/>
      <c r="V49" s="1"/>
      <c r="W49" s="1"/>
      <c r="X49" s="1"/>
      <c r="Y49" s="1"/>
      <c r="Z49" s="1"/>
    </row>
    <row r="50" spans="1:26" ht="45.75" customHeight="1" x14ac:dyDescent="0.25">
      <c r="A50" s="1"/>
      <c r="B50" s="23" t="s">
        <v>153</v>
      </c>
      <c r="C50" s="9" t="s">
        <v>154</v>
      </c>
      <c r="D50" s="16" t="s">
        <v>155</v>
      </c>
      <c r="E50" s="17">
        <v>2014</v>
      </c>
      <c r="F50" s="18">
        <v>2017</v>
      </c>
      <c r="G50" s="18">
        <v>2019</v>
      </c>
      <c r="H50" s="1"/>
      <c r="I50" s="1"/>
      <c r="J50" s="1"/>
      <c r="K50" s="1"/>
      <c r="L50" s="1"/>
      <c r="M50" s="1"/>
      <c r="N50" s="1"/>
      <c r="O50" s="1"/>
      <c r="P50" s="1"/>
      <c r="Q50" s="1"/>
      <c r="R50" s="1"/>
      <c r="S50" s="1"/>
      <c r="T50" s="1"/>
      <c r="U50" s="1"/>
      <c r="V50" s="1"/>
      <c r="W50" s="1"/>
      <c r="X50" s="1"/>
      <c r="Y50" s="1"/>
      <c r="Z50" s="1"/>
    </row>
    <row r="51" spans="1:26" ht="45.75" customHeight="1" x14ac:dyDescent="0.25">
      <c r="A51" s="1"/>
      <c r="B51" s="23" t="s">
        <v>156</v>
      </c>
      <c r="C51" s="9" t="s">
        <v>157</v>
      </c>
      <c r="D51" s="16" t="s">
        <v>124</v>
      </c>
      <c r="E51" s="17">
        <v>2015</v>
      </c>
      <c r="F51" s="18">
        <v>2017</v>
      </c>
      <c r="G51" s="18">
        <v>2019</v>
      </c>
      <c r="H51" s="1"/>
      <c r="I51" s="1"/>
      <c r="J51" s="1"/>
      <c r="K51" s="1"/>
      <c r="L51" s="1"/>
      <c r="M51" s="1"/>
      <c r="N51" s="1"/>
      <c r="O51" s="1"/>
      <c r="P51" s="1"/>
      <c r="Q51" s="1"/>
      <c r="R51" s="1"/>
      <c r="S51" s="1"/>
      <c r="T51" s="1"/>
      <c r="U51" s="1"/>
      <c r="V51" s="1"/>
      <c r="W51" s="1"/>
      <c r="X51" s="1"/>
      <c r="Y51" s="1"/>
      <c r="Z51" s="1"/>
    </row>
    <row r="52" spans="1:26" ht="45.75" customHeight="1" x14ac:dyDescent="0.25">
      <c r="A52" s="1"/>
      <c r="B52" s="23" t="s">
        <v>158</v>
      </c>
      <c r="C52" s="9" t="s">
        <v>159</v>
      </c>
      <c r="D52" s="16" t="s">
        <v>160</v>
      </c>
      <c r="E52" s="18">
        <v>2012</v>
      </c>
      <c r="F52" s="18">
        <v>2012</v>
      </c>
      <c r="G52" s="18">
        <v>2012</v>
      </c>
      <c r="H52" s="1"/>
      <c r="I52" s="1"/>
      <c r="J52" s="1"/>
      <c r="K52" s="1"/>
      <c r="L52" s="1"/>
      <c r="M52" s="1"/>
      <c r="N52" s="1"/>
      <c r="O52" s="1"/>
      <c r="P52" s="1"/>
      <c r="Q52" s="1"/>
      <c r="R52" s="1"/>
      <c r="S52" s="1"/>
      <c r="T52" s="1"/>
      <c r="U52" s="1"/>
      <c r="V52" s="1"/>
      <c r="W52" s="1"/>
      <c r="X52" s="1"/>
      <c r="Y52" s="1"/>
      <c r="Z52" s="1"/>
    </row>
    <row r="53" spans="1:26" ht="45.75" customHeight="1" x14ac:dyDescent="0.25">
      <c r="A53" s="1"/>
      <c r="B53" s="23" t="s">
        <v>161</v>
      </c>
      <c r="C53" s="9" t="s">
        <v>162</v>
      </c>
      <c r="D53" s="16" t="s">
        <v>163</v>
      </c>
      <c r="E53" s="17" t="s">
        <v>164</v>
      </c>
      <c r="F53" s="18" t="s">
        <v>165</v>
      </c>
      <c r="G53" s="18" t="s">
        <v>166</v>
      </c>
      <c r="H53" s="1"/>
      <c r="I53" s="1"/>
      <c r="J53" s="1"/>
      <c r="K53" s="1"/>
      <c r="L53" s="1"/>
      <c r="M53" s="1"/>
      <c r="N53" s="1"/>
      <c r="O53" s="1"/>
      <c r="P53" s="1"/>
      <c r="Q53" s="1"/>
      <c r="R53" s="1"/>
      <c r="S53" s="1"/>
      <c r="T53" s="1"/>
      <c r="U53" s="1"/>
      <c r="V53" s="1"/>
      <c r="W53" s="1"/>
      <c r="X53" s="1"/>
      <c r="Y53" s="1"/>
      <c r="Z53" s="1"/>
    </row>
    <row r="54" spans="1:26" ht="45.75" customHeight="1" x14ac:dyDescent="0.25">
      <c r="A54" s="1"/>
      <c r="B54" s="23" t="s">
        <v>167</v>
      </c>
      <c r="C54" s="9" t="s">
        <v>168</v>
      </c>
      <c r="D54" s="16" t="s">
        <v>95</v>
      </c>
      <c r="E54" s="10">
        <v>2014</v>
      </c>
      <c r="F54" s="18">
        <v>2017</v>
      </c>
      <c r="G54" s="18">
        <v>2019</v>
      </c>
      <c r="H54" s="1"/>
      <c r="I54" s="1"/>
      <c r="J54" s="1"/>
      <c r="K54" s="1"/>
      <c r="L54" s="1"/>
      <c r="M54" s="1"/>
      <c r="N54" s="1"/>
      <c r="O54" s="1"/>
      <c r="P54" s="1"/>
      <c r="Q54" s="1"/>
      <c r="R54" s="1"/>
      <c r="S54" s="1"/>
      <c r="T54" s="1"/>
      <c r="U54" s="1"/>
      <c r="V54" s="1"/>
      <c r="W54" s="1"/>
      <c r="X54" s="1"/>
      <c r="Y54" s="1"/>
      <c r="Z54" s="1"/>
    </row>
    <row r="55" spans="1:26" ht="45.75" customHeight="1" x14ac:dyDescent="0.25">
      <c r="A55" s="1"/>
      <c r="B55" s="23" t="s">
        <v>169</v>
      </c>
      <c r="C55" s="9" t="s">
        <v>170</v>
      </c>
      <c r="D55" s="16" t="s">
        <v>171</v>
      </c>
      <c r="E55" s="10">
        <v>2015</v>
      </c>
      <c r="F55" s="18">
        <v>2018</v>
      </c>
      <c r="G55" s="18">
        <v>2018</v>
      </c>
      <c r="H55" s="1"/>
      <c r="I55" s="1"/>
      <c r="J55" s="1"/>
      <c r="K55" s="1"/>
      <c r="L55" s="1"/>
      <c r="M55" s="1"/>
      <c r="N55" s="1"/>
      <c r="O55" s="1"/>
      <c r="P55" s="1"/>
      <c r="Q55" s="1"/>
      <c r="R55" s="1"/>
      <c r="S55" s="1"/>
      <c r="T55" s="1"/>
      <c r="U55" s="1"/>
      <c r="V55" s="1"/>
      <c r="W55" s="1"/>
      <c r="X55" s="1"/>
      <c r="Y55" s="1"/>
      <c r="Z55" s="1"/>
    </row>
    <row r="56" spans="1:26" ht="45.75" customHeight="1" x14ac:dyDescent="0.25">
      <c r="A56" s="1"/>
      <c r="B56" s="23" t="s">
        <v>172</v>
      </c>
      <c r="C56" s="9" t="s">
        <v>173</v>
      </c>
      <c r="D56" s="16" t="s">
        <v>174</v>
      </c>
      <c r="E56" s="17">
        <v>2015</v>
      </c>
      <c r="F56" s="18">
        <v>2017</v>
      </c>
      <c r="G56" s="18">
        <v>2017</v>
      </c>
      <c r="H56" s="1"/>
      <c r="I56" s="1"/>
      <c r="J56" s="1"/>
      <c r="K56" s="1"/>
      <c r="L56" s="1"/>
      <c r="M56" s="1"/>
      <c r="N56" s="1"/>
      <c r="O56" s="1"/>
      <c r="P56" s="1"/>
      <c r="Q56" s="1"/>
      <c r="R56" s="1"/>
      <c r="S56" s="1"/>
      <c r="T56" s="1"/>
      <c r="U56" s="1"/>
      <c r="V56" s="1"/>
      <c r="W56" s="1"/>
      <c r="X56" s="1"/>
      <c r="Y56" s="1"/>
      <c r="Z56" s="1"/>
    </row>
    <row r="57" spans="1:26" ht="45.75" customHeight="1" x14ac:dyDescent="0.25">
      <c r="A57" s="1"/>
      <c r="B57" s="21" t="s">
        <v>175</v>
      </c>
      <c r="C57" s="9" t="s">
        <v>176</v>
      </c>
      <c r="D57" s="16" t="s">
        <v>124</v>
      </c>
      <c r="E57" s="17">
        <v>2014</v>
      </c>
      <c r="F57" s="18">
        <v>2017</v>
      </c>
      <c r="G57" s="18">
        <v>2019</v>
      </c>
      <c r="H57" s="1"/>
      <c r="I57" s="1"/>
      <c r="J57" s="1"/>
      <c r="K57" s="1"/>
      <c r="L57" s="1"/>
      <c r="M57" s="1"/>
      <c r="N57" s="1"/>
      <c r="O57" s="1"/>
      <c r="P57" s="1"/>
      <c r="Q57" s="1"/>
      <c r="R57" s="1"/>
      <c r="S57" s="1"/>
      <c r="T57" s="1"/>
      <c r="U57" s="1"/>
      <c r="V57" s="1"/>
      <c r="W57" s="1"/>
      <c r="X57" s="1"/>
      <c r="Y57" s="1"/>
      <c r="Z57" s="1"/>
    </row>
    <row r="58" spans="1:26" ht="45.75" customHeight="1" x14ac:dyDescent="0.25">
      <c r="A58" s="1"/>
      <c r="B58" s="21" t="s">
        <v>177</v>
      </c>
      <c r="C58" s="22" t="s">
        <v>178</v>
      </c>
      <c r="D58" s="16" t="s">
        <v>124</v>
      </c>
      <c r="E58" s="17">
        <v>2014</v>
      </c>
      <c r="F58" s="18">
        <v>2017</v>
      </c>
      <c r="G58" s="18">
        <v>2019</v>
      </c>
      <c r="H58" s="1"/>
      <c r="I58" s="1"/>
      <c r="J58" s="1"/>
      <c r="K58" s="1"/>
      <c r="L58" s="1"/>
      <c r="M58" s="1"/>
      <c r="N58" s="1"/>
      <c r="O58" s="1"/>
      <c r="P58" s="1"/>
      <c r="Q58" s="1"/>
      <c r="R58" s="1"/>
      <c r="S58" s="1"/>
      <c r="T58" s="1"/>
      <c r="U58" s="1"/>
      <c r="V58" s="1"/>
      <c r="W58" s="1"/>
      <c r="X58" s="1"/>
      <c r="Y58" s="1"/>
      <c r="Z58" s="1"/>
    </row>
    <row r="59" spans="1:26" ht="45.75" customHeight="1" x14ac:dyDescent="0.25">
      <c r="A59" s="1"/>
      <c r="B59" s="21" t="s">
        <v>179</v>
      </c>
      <c r="C59" s="22" t="s">
        <v>180</v>
      </c>
      <c r="D59" s="16" t="s">
        <v>109</v>
      </c>
      <c r="E59" s="18">
        <v>2010</v>
      </c>
      <c r="F59" s="18">
        <v>2010</v>
      </c>
      <c r="G59" s="18">
        <v>2010</v>
      </c>
      <c r="H59" s="1"/>
      <c r="I59" s="1"/>
      <c r="J59" s="1"/>
      <c r="K59" s="1"/>
      <c r="L59" s="1"/>
      <c r="M59" s="1"/>
      <c r="N59" s="1"/>
      <c r="O59" s="1"/>
      <c r="P59" s="1"/>
      <c r="Q59" s="1"/>
      <c r="R59" s="1"/>
      <c r="S59" s="1"/>
      <c r="T59" s="1"/>
      <c r="U59" s="1"/>
      <c r="V59" s="1"/>
      <c r="W59" s="1"/>
      <c r="X59" s="1"/>
      <c r="Y59" s="1"/>
      <c r="Z59" s="1"/>
    </row>
    <row r="60" spans="1:26" ht="45.75" customHeight="1" x14ac:dyDescent="0.25">
      <c r="A60" s="1"/>
      <c r="B60" s="21" t="s">
        <v>181</v>
      </c>
      <c r="C60" s="22" t="s">
        <v>182</v>
      </c>
      <c r="D60" s="16" t="s">
        <v>109</v>
      </c>
      <c r="E60" s="18">
        <v>2010</v>
      </c>
      <c r="F60" s="18">
        <v>2010</v>
      </c>
      <c r="G60" s="18">
        <v>2010</v>
      </c>
      <c r="H60" s="1"/>
      <c r="I60" s="1"/>
      <c r="J60" s="1"/>
      <c r="K60" s="1"/>
      <c r="L60" s="1"/>
      <c r="M60" s="1"/>
      <c r="N60" s="1"/>
      <c r="O60" s="1"/>
      <c r="P60" s="1"/>
      <c r="Q60" s="1"/>
      <c r="R60" s="1"/>
      <c r="S60" s="1"/>
      <c r="T60" s="1"/>
      <c r="U60" s="1"/>
      <c r="V60" s="1"/>
      <c r="W60" s="1"/>
      <c r="X60" s="1"/>
      <c r="Y60" s="1"/>
      <c r="Z60" s="1"/>
    </row>
    <row r="61" spans="1:26" ht="45.75" customHeight="1" x14ac:dyDescent="0.25">
      <c r="A61" s="1"/>
      <c r="B61" s="21" t="s">
        <v>183</v>
      </c>
      <c r="C61" s="22" t="s">
        <v>184</v>
      </c>
      <c r="D61" s="16" t="s">
        <v>109</v>
      </c>
      <c r="E61" s="18">
        <v>2010</v>
      </c>
      <c r="F61" s="18">
        <v>2010</v>
      </c>
      <c r="G61" s="18">
        <v>2010</v>
      </c>
      <c r="H61" s="1"/>
      <c r="I61" s="1"/>
      <c r="J61" s="1"/>
      <c r="K61" s="1"/>
      <c r="L61" s="1"/>
      <c r="M61" s="1"/>
      <c r="N61" s="1"/>
      <c r="O61" s="1"/>
      <c r="P61" s="1"/>
      <c r="Q61" s="1"/>
      <c r="R61" s="1"/>
      <c r="S61" s="1"/>
      <c r="T61" s="1"/>
      <c r="U61" s="1"/>
      <c r="V61" s="1"/>
      <c r="W61" s="1"/>
      <c r="X61" s="1"/>
      <c r="Y61" s="1"/>
      <c r="Z61" s="1"/>
    </row>
    <row r="62" spans="1:26" ht="45.75" customHeight="1" x14ac:dyDescent="0.25">
      <c r="A62" s="1"/>
      <c r="B62" s="31" t="s">
        <v>185</v>
      </c>
      <c r="C62" s="32" t="s">
        <v>186</v>
      </c>
      <c r="D62" s="33" t="s">
        <v>109</v>
      </c>
      <c r="E62" s="34">
        <v>2010</v>
      </c>
      <c r="F62" s="34">
        <v>2010</v>
      </c>
      <c r="G62" s="34">
        <v>2010</v>
      </c>
      <c r="H62" s="1"/>
      <c r="I62" s="1"/>
      <c r="J62" s="1"/>
      <c r="K62" s="1"/>
      <c r="L62" s="1"/>
      <c r="M62" s="1"/>
      <c r="N62" s="1"/>
      <c r="O62" s="1"/>
      <c r="P62" s="1"/>
      <c r="Q62" s="1"/>
      <c r="R62" s="1"/>
      <c r="S62" s="1"/>
      <c r="T62" s="1"/>
      <c r="U62" s="1"/>
      <c r="V62" s="1"/>
      <c r="W62" s="1"/>
      <c r="X62" s="1"/>
      <c r="Y62" s="1"/>
      <c r="Z62" s="1"/>
    </row>
    <row r="63" spans="1:26" ht="45.75" customHeight="1" x14ac:dyDescent="0.25">
      <c r="A63" s="1"/>
      <c r="B63" s="1"/>
      <c r="C63" s="1"/>
      <c r="D63" s="9"/>
      <c r="E63" s="10"/>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2"/>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72" t="s">
        <v>187</v>
      </c>
      <c r="C65" s="56"/>
      <c r="D65" s="57"/>
      <c r="E65" s="2"/>
      <c r="F65" s="1"/>
      <c r="G65" s="1"/>
      <c r="H65" s="1"/>
      <c r="I65" s="1"/>
      <c r="J65" s="1"/>
      <c r="K65" s="1"/>
      <c r="L65" s="1"/>
      <c r="M65" s="1"/>
      <c r="N65" s="1"/>
      <c r="O65" s="1"/>
      <c r="P65" s="1"/>
      <c r="Q65" s="1"/>
      <c r="R65" s="1"/>
      <c r="S65" s="1"/>
      <c r="T65" s="1"/>
      <c r="U65" s="1"/>
      <c r="V65" s="1"/>
      <c r="W65" s="1"/>
      <c r="X65" s="1"/>
      <c r="Y65" s="1"/>
      <c r="Z65" s="1"/>
    </row>
    <row r="66" spans="1:26" ht="28.5" customHeight="1" x14ac:dyDescent="0.25">
      <c r="A66" s="1"/>
      <c r="B66" s="66" t="s">
        <v>188</v>
      </c>
      <c r="C66" s="56"/>
      <c r="D66" s="57"/>
      <c r="E66" s="10"/>
      <c r="F66" s="1"/>
      <c r="G66" s="1"/>
      <c r="H66" s="1"/>
      <c r="I66" s="1"/>
      <c r="J66" s="1"/>
      <c r="K66" s="1"/>
      <c r="L66" s="1"/>
      <c r="M66" s="1"/>
      <c r="N66" s="1"/>
      <c r="O66" s="1"/>
      <c r="P66" s="1"/>
      <c r="Q66" s="1"/>
      <c r="R66" s="1"/>
      <c r="S66" s="1"/>
      <c r="T66" s="1"/>
      <c r="U66" s="1"/>
      <c r="V66" s="1"/>
      <c r="W66" s="1"/>
      <c r="X66" s="1"/>
      <c r="Y66" s="1"/>
      <c r="Z66" s="1"/>
    </row>
    <row r="67" spans="1:26" ht="60" customHeight="1" x14ac:dyDescent="0.25">
      <c r="A67" s="1"/>
      <c r="B67" s="66" t="s">
        <v>189</v>
      </c>
      <c r="C67" s="57"/>
      <c r="D67" s="9"/>
      <c r="E67" s="10"/>
      <c r="F67" s="1"/>
      <c r="G67" s="1"/>
      <c r="H67" s="1"/>
      <c r="I67" s="1"/>
      <c r="J67" s="1"/>
      <c r="K67" s="1"/>
      <c r="L67" s="1"/>
      <c r="M67" s="1"/>
      <c r="N67" s="1"/>
      <c r="O67" s="1"/>
      <c r="P67" s="1"/>
      <c r="Q67" s="1"/>
      <c r="R67" s="1"/>
      <c r="S67" s="1"/>
      <c r="T67" s="1"/>
      <c r="U67" s="1"/>
      <c r="V67" s="1"/>
      <c r="W67" s="1"/>
      <c r="X67" s="1"/>
      <c r="Y67" s="1"/>
      <c r="Z67" s="1"/>
    </row>
    <row r="68" spans="1:26" ht="36" customHeight="1" x14ac:dyDescent="0.25">
      <c r="A68" s="1"/>
      <c r="B68" s="66" t="s">
        <v>190</v>
      </c>
      <c r="C68" s="56"/>
      <c r="D68" s="57"/>
      <c r="E68" s="10"/>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35"/>
      <c r="D69" s="36"/>
      <c r="E69" s="10"/>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35"/>
      <c r="D70" s="36"/>
      <c r="E70" s="10"/>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35"/>
      <c r="D71" s="36"/>
      <c r="E71" s="10"/>
      <c r="F71" s="1"/>
      <c r="G71" s="1"/>
      <c r="H71" s="1"/>
      <c r="I71" s="1"/>
      <c r="J71" s="1"/>
      <c r="K71" s="1"/>
      <c r="L71" s="1"/>
      <c r="M71" s="1"/>
      <c r="N71" s="1"/>
      <c r="O71" s="1"/>
      <c r="P71" s="1"/>
      <c r="Q71" s="1"/>
      <c r="R71" s="1"/>
      <c r="S71" s="1"/>
      <c r="T71" s="1"/>
      <c r="U71" s="1"/>
      <c r="V71" s="1"/>
      <c r="W71" s="1"/>
      <c r="X71" s="1"/>
      <c r="Y71" s="1"/>
      <c r="Z71" s="1"/>
    </row>
    <row r="72" spans="1:26" ht="30" customHeight="1" x14ac:dyDescent="0.25">
      <c r="A72" s="1"/>
      <c r="B72" s="66" t="s">
        <v>191</v>
      </c>
      <c r="C72" s="56"/>
      <c r="D72" s="57"/>
      <c r="E72" s="10"/>
      <c r="F72" s="1"/>
      <c r="G72" s="1"/>
      <c r="H72" s="1"/>
      <c r="I72" s="1"/>
      <c r="J72" s="1"/>
      <c r="K72" s="1"/>
      <c r="L72" s="1"/>
      <c r="M72" s="1"/>
      <c r="N72" s="1"/>
      <c r="O72" s="1"/>
      <c r="P72" s="1"/>
      <c r="Q72" s="1"/>
      <c r="R72" s="1"/>
      <c r="S72" s="1"/>
      <c r="T72" s="1"/>
      <c r="U72" s="1"/>
      <c r="V72" s="1"/>
      <c r="W72" s="1"/>
      <c r="X72" s="1"/>
      <c r="Y72" s="1"/>
      <c r="Z72" s="1"/>
    </row>
    <row r="73" spans="1:26" ht="33.75" customHeight="1" x14ac:dyDescent="0.25">
      <c r="A73" s="1"/>
      <c r="B73" s="73" t="s">
        <v>192</v>
      </c>
      <c r="C73" s="56"/>
      <c r="D73" s="57"/>
      <c r="E73" s="10"/>
      <c r="F73" s="1"/>
      <c r="G73" s="1"/>
      <c r="H73" s="1"/>
      <c r="I73" s="1"/>
      <c r="J73" s="1"/>
      <c r="K73" s="1"/>
      <c r="L73" s="1"/>
      <c r="M73" s="1"/>
      <c r="N73" s="1"/>
      <c r="O73" s="1"/>
      <c r="P73" s="1"/>
      <c r="Q73" s="1"/>
      <c r="R73" s="1"/>
      <c r="S73" s="1"/>
      <c r="T73" s="1"/>
      <c r="U73" s="1"/>
      <c r="V73" s="1"/>
      <c r="W73" s="1"/>
      <c r="X73" s="1"/>
      <c r="Y73" s="1"/>
      <c r="Z73" s="1"/>
    </row>
    <row r="74" spans="1:26" ht="40.5" customHeight="1" x14ac:dyDescent="0.25">
      <c r="A74" s="1"/>
      <c r="B74" s="66" t="s">
        <v>193</v>
      </c>
      <c r="C74" s="56"/>
      <c r="D74" s="57"/>
      <c r="E74" s="10"/>
      <c r="F74" s="1"/>
      <c r="G74" s="1"/>
      <c r="H74" s="1"/>
      <c r="I74" s="1"/>
      <c r="J74" s="1"/>
      <c r="K74" s="1"/>
      <c r="L74" s="1"/>
      <c r="M74" s="1"/>
      <c r="N74" s="1"/>
      <c r="O74" s="1"/>
      <c r="P74" s="1"/>
      <c r="Q74" s="1"/>
      <c r="R74" s="1"/>
      <c r="S74" s="1"/>
      <c r="T74" s="1"/>
      <c r="U74" s="1"/>
      <c r="V74" s="1"/>
      <c r="W74" s="1"/>
      <c r="X74" s="1"/>
      <c r="Y74" s="1"/>
      <c r="Z74" s="1"/>
    </row>
    <row r="75" spans="1:26" ht="45" customHeight="1" x14ac:dyDescent="0.25">
      <c r="A75" s="1"/>
      <c r="B75" s="66" t="s">
        <v>194</v>
      </c>
      <c r="C75" s="56"/>
      <c r="D75" s="57"/>
      <c r="E75" s="10"/>
      <c r="F75" s="1"/>
      <c r="G75" s="1"/>
      <c r="H75" s="1"/>
      <c r="I75" s="1"/>
      <c r="J75" s="1"/>
      <c r="K75" s="1"/>
      <c r="L75" s="1"/>
      <c r="M75" s="1"/>
      <c r="N75" s="1"/>
      <c r="O75" s="1"/>
      <c r="P75" s="1"/>
      <c r="Q75" s="1"/>
      <c r="R75" s="1"/>
      <c r="S75" s="1"/>
      <c r="T75" s="1"/>
      <c r="U75" s="1"/>
      <c r="V75" s="1"/>
      <c r="W75" s="1"/>
      <c r="X75" s="1"/>
      <c r="Y75" s="1"/>
      <c r="Z75" s="1"/>
    </row>
    <row r="76" spans="1:26" ht="33" customHeight="1" x14ac:dyDescent="0.25">
      <c r="A76" s="1"/>
      <c r="B76" s="66" t="s">
        <v>195</v>
      </c>
      <c r="C76" s="56"/>
      <c r="D76" s="57"/>
      <c r="E76" s="10"/>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35"/>
      <c r="D77" s="36"/>
      <c r="E77" s="10"/>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35"/>
      <c r="D78" s="36"/>
      <c r="E78" s="10"/>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36"/>
      <c r="D79" s="36"/>
      <c r="E79" s="10"/>
      <c r="F79" s="1"/>
      <c r="G79" s="1"/>
      <c r="H79" s="1"/>
      <c r="I79" s="1"/>
      <c r="J79" s="1"/>
      <c r="K79" s="1"/>
      <c r="L79" s="1"/>
      <c r="M79" s="1"/>
      <c r="N79" s="1"/>
      <c r="O79" s="1"/>
      <c r="P79" s="1"/>
      <c r="Q79" s="1"/>
      <c r="R79" s="1"/>
      <c r="S79" s="1"/>
      <c r="T79" s="1"/>
      <c r="U79" s="1"/>
      <c r="V79" s="1"/>
      <c r="W79" s="1"/>
      <c r="X79" s="1"/>
      <c r="Y79" s="1"/>
      <c r="Z79" s="1"/>
    </row>
    <row r="80" spans="1:26" ht="30.75" customHeight="1" x14ac:dyDescent="0.25">
      <c r="A80" s="1"/>
      <c r="B80" s="66" t="s">
        <v>196</v>
      </c>
      <c r="C80" s="56"/>
      <c r="D80" s="57"/>
      <c r="E80" s="10"/>
      <c r="F80" s="1"/>
      <c r="G80" s="1"/>
      <c r="H80" s="1"/>
      <c r="I80" s="1"/>
      <c r="J80" s="1"/>
      <c r="K80" s="1"/>
      <c r="L80" s="1"/>
      <c r="M80" s="1"/>
      <c r="N80" s="1"/>
      <c r="O80" s="1"/>
      <c r="P80" s="1"/>
      <c r="Q80" s="1"/>
      <c r="R80" s="1"/>
      <c r="S80" s="1"/>
      <c r="T80" s="1"/>
      <c r="U80" s="1"/>
      <c r="V80" s="1"/>
      <c r="W80" s="1"/>
      <c r="X80" s="1"/>
      <c r="Y80" s="1"/>
      <c r="Z80" s="1"/>
    </row>
    <row r="81" spans="1:26" ht="32.25" customHeight="1" x14ac:dyDescent="0.25">
      <c r="A81" s="1"/>
      <c r="B81" s="66" t="s">
        <v>197</v>
      </c>
      <c r="C81" s="57"/>
      <c r="D81" s="35"/>
      <c r="E81" s="10"/>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36"/>
      <c r="D82" s="36"/>
      <c r="E82" s="10"/>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36"/>
      <c r="D83" s="36"/>
      <c r="E83" s="10"/>
      <c r="F83" s="1"/>
      <c r="G83" s="1"/>
      <c r="H83" s="1"/>
      <c r="I83" s="1"/>
      <c r="J83" s="1"/>
      <c r="K83" s="1"/>
      <c r="L83" s="1"/>
      <c r="M83" s="1"/>
      <c r="N83" s="1"/>
      <c r="O83" s="1"/>
      <c r="P83" s="1"/>
      <c r="Q83" s="1"/>
      <c r="R83" s="1"/>
      <c r="S83" s="1"/>
      <c r="T83" s="1"/>
      <c r="U83" s="1"/>
      <c r="V83" s="1"/>
      <c r="W83" s="1"/>
      <c r="X83" s="1"/>
      <c r="Y83" s="1"/>
      <c r="Z83" s="1"/>
    </row>
    <row r="84" spans="1:26" ht="36" customHeight="1" x14ac:dyDescent="0.3">
      <c r="A84" s="1"/>
      <c r="B84" s="1"/>
      <c r="C84" s="37"/>
      <c r="D84" s="36"/>
      <c r="E84" s="10"/>
      <c r="F84" s="1"/>
      <c r="G84" s="1"/>
      <c r="H84" s="1"/>
      <c r="I84" s="1"/>
      <c r="J84" s="1"/>
      <c r="K84" s="1"/>
      <c r="L84" s="1"/>
      <c r="M84" s="1"/>
      <c r="N84" s="1"/>
      <c r="O84" s="1"/>
      <c r="P84" s="1"/>
      <c r="Q84" s="1"/>
      <c r="R84" s="1"/>
      <c r="S84" s="1"/>
      <c r="T84" s="1"/>
      <c r="U84" s="1"/>
      <c r="V84" s="1"/>
      <c r="W84" s="1"/>
      <c r="X84" s="1"/>
      <c r="Y84" s="1"/>
      <c r="Z84" s="1"/>
    </row>
    <row r="85" spans="1:26" ht="15" customHeight="1" x14ac:dyDescent="0.25">
      <c r="A85" s="1"/>
      <c r="B85" s="1"/>
      <c r="C85" s="67"/>
      <c r="D85" s="57"/>
      <c r="E85" s="10"/>
      <c r="F85" s="1"/>
      <c r="G85" s="1"/>
      <c r="H85" s="1"/>
      <c r="I85" s="1"/>
      <c r="J85" s="1"/>
      <c r="K85" s="1"/>
      <c r="L85" s="1"/>
      <c r="M85" s="1"/>
      <c r="N85" s="1"/>
      <c r="O85" s="1"/>
      <c r="P85" s="1"/>
      <c r="Q85" s="1"/>
      <c r="R85" s="1"/>
      <c r="S85" s="1"/>
      <c r="T85" s="1"/>
      <c r="U85" s="1"/>
      <c r="V85" s="1"/>
      <c r="W85" s="1"/>
      <c r="X85" s="1"/>
      <c r="Y85" s="1"/>
      <c r="Z85" s="1"/>
    </row>
    <row r="86" spans="1:26" ht="19.5" customHeight="1" x14ac:dyDescent="0.25">
      <c r="A86" s="1"/>
      <c r="B86" s="68" t="s">
        <v>198</v>
      </c>
      <c r="C86" s="56"/>
      <c r="D86" s="57"/>
      <c r="E86" s="10"/>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38"/>
      <c r="D87" s="36"/>
      <c r="E87" s="10"/>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38"/>
      <c r="D88" s="36"/>
      <c r="E88" s="10"/>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38"/>
      <c r="D89" s="36"/>
      <c r="E89" s="10"/>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38"/>
      <c r="D90" s="36"/>
      <c r="E90" s="10"/>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39"/>
      <c r="D91" s="40"/>
      <c r="E91" s="10"/>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39"/>
      <c r="D92" s="40"/>
      <c r="E92" s="10"/>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39"/>
      <c r="D93" s="40"/>
      <c r="E93" s="10"/>
      <c r="F93" s="1"/>
      <c r="G93" s="1"/>
      <c r="H93" s="1"/>
      <c r="I93" s="1"/>
      <c r="J93" s="1"/>
      <c r="K93" s="1"/>
      <c r="L93" s="1"/>
      <c r="M93" s="1"/>
      <c r="N93" s="1"/>
      <c r="O93" s="1"/>
      <c r="P93" s="1"/>
      <c r="Q93" s="1"/>
      <c r="R93" s="1"/>
      <c r="S93" s="1"/>
      <c r="T93" s="1"/>
      <c r="U93" s="1"/>
      <c r="V93" s="1"/>
      <c r="W93" s="1"/>
      <c r="X93" s="1"/>
      <c r="Y93" s="1"/>
      <c r="Z93" s="1"/>
    </row>
    <row r="94" spans="1:26" ht="49.5" customHeight="1" x14ac:dyDescent="0.25">
      <c r="A94" s="1"/>
      <c r="B94" s="69" t="s">
        <v>199</v>
      </c>
      <c r="C94" s="56"/>
      <c r="D94" s="57"/>
      <c r="E94" s="10"/>
      <c r="F94" s="1"/>
      <c r="G94" s="1"/>
      <c r="H94" s="1"/>
      <c r="I94" s="1"/>
      <c r="J94" s="1"/>
      <c r="K94" s="1"/>
      <c r="L94" s="1"/>
      <c r="M94" s="1"/>
      <c r="N94" s="1"/>
      <c r="O94" s="1"/>
      <c r="P94" s="1"/>
      <c r="Q94" s="1"/>
      <c r="R94" s="1"/>
      <c r="S94" s="1"/>
      <c r="T94" s="1"/>
      <c r="U94" s="1"/>
      <c r="V94" s="1"/>
      <c r="W94" s="1"/>
      <c r="X94" s="1"/>
      <c r="Y94" s="1"/>
      <c r="Z94" s="1"/>
    </row>
    <row r="95" spans="1:26" ht="34.5" customHeight="1" x14ac:dyDescent="0.25">
      <c r="A95" s="1"/>
      <c r="B95" s="41" t="s">
        <v>200</v>
      </c>
      <c r="C95" s="1"/>
      <c r="D95" s="9"/>
      <c r="E95" s="10"/>
      <c r="F95" s="1"/>
      <c r="G95" s="1"/>
      <c r="H95" s="1"/>
      <c r="I95" s="1"/>
      <c r="J95" s="1"/>
      <c r="K95" s="1"/>
      <c r="L95" s="1"/>
      <c r="M95" s="1"/>
      <c r="N95" s="1"/>
      <c r="O95" s="1"/>
      <c r="P95" s="1"/>
      <c r="Q95" s="1"/>
      <c r="R95" s="1"/>
      <c r="S95" s="1"/>
      <c r="T95" s="1"/>
      <c r="U95" s="1"/>
      <c r="V95" s="1"/>
      <c r="W95" s="1"/>
      <c r="X95" s="1"/>
      <c r="Y95" s="1"/>
      <c r="Z95" s="1"/>
    </row>
    <row r="96" spans="1:26" ht="34.5" customHeight="1" x14ac:dyDescent="0.25">
      <c r="A96" s="1"/>
      <c r="B96" s="42" t="s">
        <v>201</v>
      </c>
      <c r="C96" s="1"/>
      <c r="D96" s="9"/>
      <c r="E96" s="10"/>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9"/>
      <c r="E97" s="10"/>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9"/>
      <c r="E98" s="10"/>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9"/>
      <c r="E99" s="10"/>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9"/>
      <c r="E100" s="10"/>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9"/>
      <c r="E101" s="10"/>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9"/>
      <c r="E102" s="10"/>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9"/>
      <c r="E103" s="10"/>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9"/>
      <c r="E104" s="10"/>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9"/>
      <c r="E105" s="10"/>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9"/>
      <c r="E106" s="10"/>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9"/>
      <c r="E107" s="10"/>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9"/>
      <c r="E108" s="10"/>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9"/>
      <c r="E109" s="10"/>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9"/>
      <c r="E110" s="10"/>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9"/>
      <c r="E111" s="10"/>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9"/>
      <c r="E112" s="10"/>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9"/>
      <c r="E113" s="10"/>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9"/>
      <c r="E114" s="10"/>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9"/>
      <c r="E115" s="10"/>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9"/>
      <c r="E116" s="10"/>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9"/>
      <c r="E117" s="10"/>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9"/>
      <c r="E118" s="10"/>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9"/>
      <c r="E119" s="10"/>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9"/>
      <c r="E120" s="10"/>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9"/>
      <c r="E121" s="10"/>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9"/>
      <c r="E122" s="10"/>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9"/>
      <c r="E123" s="10"/>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9"/>
      <c r="E124" s="10"/>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9"/>
      <c r="E125" s="10"/>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9"/>
      <c r="E126" s="10"/>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9"/>
      <c r="E127" s="10"/>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9"/>
      <c r="E128" s="10"/>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9"/>
      <c r="E129" s="10"/>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9"/>
      <c r="E130" s="10"/>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9"/>
      <c r="E131" s="10"/>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9"/>
      <c r="E132" s="10"/>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9"/>
      <c r="E133" s="10"/>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9"/>
      <c r="E134" s="10"/>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9"/>
      <c r="E135" s="10"/>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9"/>
      <c r="E136" s="10"/>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9"/>
      <c r="E137" s="10"/>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9"/>
      <c r="E138" s="10"/>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9"/>
      <c r="E139" s="10"/>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9"/>
      <c r="E140" s="10"/>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9"/>
      <c r="E141" s="10"/>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9"/>
      <c r="E142" s="10"/>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9"/>
      <c r="E143" s="10"/>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9"/>
      <c r="E144" s="10"/>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9"/>
      <c r="E145" s="10"/>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9"/>
      <c r="E146" s="10"/>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9"/>
      <c r="E147" s="10"/>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9"/>
      <c r="E148" s="10"/>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9"/>
      <c r="E149" s="10"/>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9"/>
      <c r="E150" s="10"/>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9"/>
      <c r="E151" s="10"/>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9"/>
      <c r="E152" s="10"/>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9"/>
      <c r="E153" s="10"/>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9"/>
      <c r="E154" s="10"/>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9"/>
      <c r="E155" s="10"/>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9"/>
      <c r="E156" s="10"/>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9"/>
      <c r="E157" s="10"/>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9"/>
      <c r="E158" s="10"/>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9"/>
      <c r="E159" s="10"/>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9"/>
      <c r="E160" s="10"/>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9"/>
      <c r="E161" s="10"/>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9"/>
      <c r="E162" s="10"/>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9"/>
      <c r="E163" s="10"/>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9"/>
      <c r="E164" s="10"/>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9"/>
      <c r="E165" s="10"/>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9"/>
      <c r="E166" s="10"/>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9"/>
      <c r="E167" s="10"/>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9"/>
      <c r="E168" s="10"/>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9"/>
      <c r="E169" s="10"/>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9"/>
      <c r="E170" s="10"/>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9"/>
      <c r="E171" s="10"/>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9"/>
      <c r="E172" s="10"/>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9"/>
      <c r="E173" s="10"/>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9"/>
      <c r="E174" s="10"/>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9"/>
      <c r="E175" s="10"/>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9"/>
      <c r="E176" s="10"/>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9"/>
      <c r="E177" s="10"/>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9"/>
      <c r="E178" s="10"/>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9"/>
      <c r="E179" s="10"/>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9"/>
      <c r="E180" s="10"/>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9"/>
      <c r="E181" s="10"/>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9"/>
      <c r="E182" s="10"/>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9"/>
      <c r="E183" s="10"/>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9"/>
      <c r="E184" s="10"/>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9"/>
      <c r="E185" s="10"/>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9"/>
      <c r="E186" s="10"/>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9"/>
      <c r="E187" s="10"/>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9"/>
      <c r="E188" s="10"/>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9"/>
      <c r="E189" s="10"/>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9"/>
      <c r="E190" s="10"/>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9"/>
      <c r="E191" s="10"/>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9"/>
      <c r="E192" s="10"/>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9"/>
      <c r="E193" s="10"/>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9"/>
      <c r="E194" s="10"/>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9"/>
      <c r="E195" s="10"/>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9"/>
      <c r="E196" s="10"/>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9"/>
      <c r="E197" s="10"/>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9"/>
      <c r="E198" s="10"/>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9"/>
      <c r="E199" s="10"/>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9"/>
      <c r="E200" s="10"/>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9"/>
      <c r="E201" s="10"/>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9"/>
      <c r="E202" s="10"/>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9"/>
      <c r="E203" s="10"/>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9"/>
      <c r="E204" s="10"/>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9"/>
      <c r="E205" s="10"/>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9"/>
      <c r="E206" s="10"/>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9"/>
      <c r="E207" s="10"/>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9"/>
      <c r="E208" s="10"/>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9"/>
      <c r="E209" s="10"/>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9"/>
      <c r="E210" s="10"/>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9"/>
      <c r="E211" s="10"/>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9"/>
      <c r="E212" s="10"/>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9"/>
      <c r="E213" s="10"/>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9"/>
      <c r="E214" s="10"/>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9"/>
      <c r="E215" s="10"/>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9"/>
      <c r="E216" s="10"/>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9"/>
      <c r="E217" s="10"/>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9"/>
      <c r="E218" s="10"/>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9"/>
      <c r="E219" s="10"/>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9"/>
      <c r="E220" s="10"/>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9"/>
      <c r="E221" s="10"/>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9"/>
      <c r="E222" s="10"/>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9"/>
      <c r="E223" s="10"/>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9"/>
      <c r="E224" s="10"/>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9"/>
      <c r="E225" s="10"/>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9"/>
      <c r="E226" s="10"/>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9"/>
      <c r="E227" s="10"/>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9"/>
      <c r="E228" s="10"/>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9"/>
      <c r="E229" s="10"/>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9"/>
      <c r="E230" s="10"/>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9"/>
      <c r="E231" s="10"/>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9"/>
      <c r="E232" s="10"/>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9"/>
      <c r="E233" s="10"/>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9"/>
      <c r="E234" s="10"/>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9"/>
      <c r="E235" s="10"/>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9"/>
      <c r="E236" s="10"/>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9"/>
      <c r="E237" s="10"/>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9"/>
      <c r="E238" s="10"/>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9"/>
      <c r="E239" s="10"/>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9"/>
      <c r="E240" s="10"/>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9"/>
      <c r="E241" s="10"/>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9"/>
      <c r="E242" s="10"/>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9"/>
      <c r="E243" s="10"/>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9"/>
      <c r="E244" s="10"/>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9"/>
      <c r="E245" s="10"/>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9"/>
      <c r="E246" s="10"/>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9"/>
      <c r="E247" s="10"/>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9"/>
      <c r="E248" s="10"/>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9"/>
      <c r="E249" s="10"/>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9"/>
      <c r="E250" s="10"/>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9"/>
      <c r="E251" s="10"/>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9"/>
      <c r="E252" s="10"/>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9"/>
      <c r="E253" s="10"/>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9"/>
      <c r="E254" s="10"/>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9"/>
      <c r="E255" s="10"/>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9"/>
      <c r="E256" s="10"/>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9"/>
      <c r="E257" s="10"/>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9"/>
      <c r="E258" s="10"/>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9"/>
      <c r="E259" s="10"/>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9"/>
      <c r="E260" s="10"/>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9"/>
      <c r="E261" s="10"/>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9"/>
      <c r="E262" s="10"/>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9"/>
      <c r="E263" s="10"/>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9"/>
      <c r="E264" s="10"/>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9"/>
      <c r="E265" s="10"/>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9"/>
      <c r="E266" s="10"/>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9"/>
      <c r="E267" s="10"/>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9"/>
      <c r="E268" s="10"/>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9"/>
      <c r="E269" s="10"/>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9"/>
      <c r="E270" s="10"/>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9"/>
      <c r="E271" s="10"/>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9"/>
      <c r="E272" s="10"/>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9"/>
      <c r="E273" s="10"/>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9"/>
      <c r="E274" s="10"/>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9"/>
      <c r="E275" s="10"/>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9"/>
      <c r="E276" s="10"/>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9"/>
      <c r="E277" s="10"/>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9"/>
      <c r="E278" s="10"/>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9"/>
      <c r="E279" s="10"/>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9"/>
      <c r="E280" s="10"/>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9"/>
      <c r="E281" s="10"/>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9"/>
      <c r="E282" s="10"/>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9"/>
      <c r="E283" s="10"/>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9"/>
      <c r="E284" s="10"/>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9"/>
      <c r="E285" s="10"/>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9"/>
      <c r="E286" s="10"/>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9"/>
      <c r="E287" s="10"/>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9"/>
      <c r="E288" s="10"/>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9"/>
      <c r="E289" s="10"/>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9"/>
      <c r="E290" s="10"/>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9"/>
      <c r="E291" s="10"/>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9"/>
      <c r="E292" s="10"/>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9"/>
      <c r="E293" s="10"/>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9"/>
      <c r="E294" s="10"/>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9"/>
      <c r="E295" s="10"/>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9"/>
      <c r="E296" s="10"/>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9"/>
      <c r="E297" s="10"/>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9"/>
      <c r="E298" s="10"/>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9"/>
      <c r="E299" s="10"/>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9"/>
      <c r="E300" s="10"/>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9"/>
      <c r="E301" s="10"/>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9"/>
      <c r="E302" s="10"/>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9"/>
      <c r="E303" s="10"/>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9"/>
      <c r="E304" s="10"/>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9"/>
      <c r="E305" s="10"/>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9"/>
      <c r="E306" s="10"/>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9"/>
      <c r="E307" s="10"/>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9"/>
      <c r="E308" s="10"/>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9"/>
      <c r="E309" s="10"/>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9"/>
      <c r="E310" s="10"/>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9"/>
      <c r="E311" s="10"/>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9"/>
      <c r="E312" s="10"/>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9"/>
      <c r="E313" s="10"/>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9"/>
      <c r="E314" s="10"/>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9"/>
      <c r="E315" s="10"/>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9"/>
      <c r="E316" s="10"/>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9"/>
      <c r="E317" s="10"/>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9"/>
      <c r="E318" s="10"/>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9"/>
      <c r="E319" s="10"/>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9"/>
      <c r="E320" s="10"/>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9"/>
      <c r="E321" s="10"/>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9"/>
      <c r="E322" s="10"/>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9"/>
      <c r="E323" s="10"/>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9"/>
      <c r="E324" s="10"/>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9"/>
      <c r="E325" s="10"/>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9"/>
      <c r="E326" s="10"/>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9"/>
      <c r="E327" s="10"/>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9"/>
      <c r="E328" s="10"/>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9"/>
      <c r="E329" s="10"/>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9"/>
      <c r="E330" s="10"/>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9"/>
      <c r="E331" s="10"/>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9"/>
      <c r="E332" s="10"/>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9"/>
      <c r="E333" s="10"/>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9"/>
      <c r="E334" s="10"/>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9"/>
      <c r="E335" s="10"/>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9"/>
      <c r="E336" s="10"/>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9"/>
      <c r="E337" s="10"/>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9"/>
      <c r="E338" s="10"/>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9"/>
      <c r="E339" s="10"/>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9"/>
      <c r="E340" s="10"/>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9"/>
      <c r="E341" s="10"/>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9"/>
      <c r="E342" s="10"/>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9"/>
      <c r="E343" s="10"/>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9"/>
      <c r="E344" s="10"/>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9"/>
      <c r="E345" s="10"/>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9"/>
      <c r="E346" s="10"/>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9"/>
      <c r="E347" s="10"/>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9"/>
      <c r="E348" s="10"/>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9"/>
      <c r="E349" s="10"/>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9"/>
      <c r="E350" s="10"/>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9"/>
      <c r="E351" s="10"/>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9"/>
      <c r="E352" s="10"/>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9"/>
      <c r="E353" s="10"/>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9"/>
      <c r="E354" s="10"/>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9"/>
      <c r="E355" s="10"/>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9"/>
      <c r="E356" s="10"/>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9"/>
      <c r="E357" s="10"/>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9"/>
      <c r="E358" s="10"/>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9"/>
      <c r="E359" s="10"/>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9"/>
      <c r="E360" s="10"/>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9"/>
      <c r="E361" s="10"/>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9"/>
      <c r="E362" s="10"/>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9"/>
      <c r="E363" s="10"/>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9"/>
      <c r="E364" s="10"/>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9"/>
      <c r="E365" s="10"/>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9"/>
      <c r="E366" s="10"/>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9"/>
      <c r="E367" s="10"/>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9"/>
      <c r="E368" s="10"/>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9"/>
      <c r="E369" s="10"/>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9"/>
      <c r="E370" s="10"/>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9"/>
      <c r="E371" s="10"/>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9"/>
      <c r="E372" s="10"/>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9"/>
      <c r="E373" s="10"/>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9"/>
      <c r="E374" s="10"/>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9"/>
      <c r="E375" s="10"/>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9"/>
      <c r="E376" s="10"/>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9"/>
      <c r="E377" s="10"/>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9"/>
      <c r="E378" s="10"/>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9"/>
      <c r="E379" s="10"/>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9"/>
      <c r="E380" s="10"/>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9"/>
      <c r="E381" s="10"/>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9"/>
      <c r="E382" s="10"/>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9"/>
      <c r="E383" s="10"/>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9"/>
      <c r="E384" s="10"/>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9"/>
      <c r="E385" s="10"/>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9"/>
      <c r="E386" s="10"/>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9"/>
      <c r="E387" s="10"/>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9"/>
      <c r="E388" s="10"/>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9"/>
      <c r="E389" s="10"/>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9"/>
      <c r="E390" s="10"/>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9"/>
      <c r="E391" s="10"/>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9"/>
      <c r="E392" s="10"/>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9"/>
      <c r="E393" s="10"/>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9"/>
      <c r="E394" s="10"/>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9"/>
      <c r="E395" s="10"/>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9"/>
      <c r="E396" s="10"/>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9"/>
      <c r="E397" s="10"/>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9"/>
      <c r="E398" s="10"/>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9"/>
      <c r="E399" s="10"/>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9"/>
      <c r="E400" s="10"/>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9"/>
      <c r="E401" s="10"/>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9"/>
      <c r="E402" s="10"/>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9"/>
      <c r="E403" s="10"/>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9"/>
      <c r="E404" s="10"/>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9"/>
      <c r="E405" s="10"/>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9"/>
      <c r="E406" s="10"/>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9"/>
      <c r="E407" s="10"/>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9"/>
      <c r="E408" s="10"/>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9"/>
      <c r="E409" s="10"/>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9"/>
      <c r="E410" s="10"/>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9"/>
      <c r="E411" s="10"/>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9"/>
      <c r="E412" s="10"/>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9"/>
      <c r="E413" s="10"/>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9"/>
      <c r="E414" s="10"/>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9"/>
      <c r="E415" s="10"/>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9"/>
      <c r="E416" s="10"/>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9"/>
      <c r="E417" s="10"/>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9"/>
      <c r="E418" s="10"/>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9"/>
      <c r="E419" s="10"/>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9"/>
      <c r="E420" s="10"/>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9"/>
      <c r="E421" s="10"/>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9"/>
      <c r="E422" s="10"/>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9"/>
      <c r="E423" s="10"/>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9"/>
      <c r="E424" s="10"/>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9"/>
      <c r="E425" s="10"/>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9"/>
      <c r="E426" s="10"/>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9"/>
      <c r="E427" s="10"/>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9"/>
      <c r="E428" s="10"/>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9"/>
      <c r="E429" s="10"/>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9"/>
      <c r="E430" s="10"/>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9"/>
      <c r="E431" s="10"/>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9"/>
      <c r="E432" s="10"/>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9"/>
      <c r="E433" s="10"/>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9"/>
      <c r="E434" s="10"/>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9"/>
      <c r="E435" s="10"/>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9"/>
      <c r="E436" s="10"/>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9"/>
      <c r="E437" s="10"/>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9"/>
      <c r="E438" s="10"/>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9"/>
      <c r="E439" s="10"/>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9"/>
      <c r="E440" s="10"/>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9"/>
      <c r="E441" s="10"/>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9"/>
      <c r="E442" s="10"/>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9"/>
      <c r="E443" s="10"/>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9"/>
      <c r="E444" s="10"/>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9"/>
      <c r="E445" s="10"/>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9"/>
      <c r="E446" s="10"/>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9"/>
      <c r="E447" s="10"/>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9"/>
      <c r="E448" s="10"/>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9"/>
      <c r="E449" s="10"/>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9"/>
      <c r="E450" s="10"/>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9"/>
      <c r="E451" s="10"/>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9"/>
      <c r="E452" s="10"/>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9"/>
      <c r="E453" s="10"/>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9"/>
      <c r="E454" s="10"/>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9"/>
      <c r="E455" s="10"/>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9"/>
      <c r="E456" s="10"/>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9"/>
      <c r="E457" s="10"/>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9"/>
      <c r="E458" s="10"/>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9"/>
      <c r="E459" s="10"/>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9"/>
      <c r="E460" s="10"/>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9"/>
      <c r="E461" s="10"/>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9"/>
      <c r="E462" s="10"/>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9"/>
      <c r="E463" s="10"/>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9"/>
      <c r="E464" s="10"/>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9"/>
      <c r="E465" s="10"/>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9"/>
      <c r="E466" s="10"/>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9"/>
      <c r="E467" s="10"/>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9"/>
      <c r="E468" s="10"/>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9"/>
      <c r="E469" s="10"/>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9"/>
      <c r="E470" s="10"/>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9"/>
      <c r="E471" s="10"/>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9"/>
      <c r="E472" s="10"/>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9"/>
      <c r="E473" s="10"/>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9"/>
      <c r="E474" s="10"/>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9"/>
      <c r="E475" s="10"/>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9"/>
      <c r="E476" s="10"/>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9"/>
      <c r="E477" s="10"/>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9"/>
      <c r="E478" s="10"/>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9"/>
      <c r="E479" s="10"/>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9"/>
      <c r="E480" s="10"/>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9"/>
      <c r="E481" s="10"/>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9"/>
      <c r="E482" s="10"/>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9"/>
      <c r="E483" s="10"/>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9"/>
      <c r="E484" s="10"/>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9"/>
      <c r="E485" s="10"/>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9"/>
      <c r="E486" s="10"/>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9"/>
      <c r="E487" s="10"/>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9"/>
      <c r="E488" s="10"/>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9"/>
      <c r="E489" s="10"/>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9"/>
      <c r="E490" s="10"/>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9"/>
      <c r="E491" s="10"/>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9"/>
      <c r="E492" s="10"/>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9"/>
      <c r="E493" s="10"/>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9"/>
      <c r="E494" s="10"/>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9"/>
      <c r="E495" s="10"/>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9"/>
      <c r="E496" s="10"/>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9"/>
      <c r="E497" s="10"/>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9"/>
      <c r="E498" s="10"/>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9"/>
      <c r="E499" s="10"/>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9"/>
      <c r="E500" s="10"/>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9"/>
      <c r="E501" s="10"/>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9"/>
      <c r="E502" s="10"/>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9"/>
      <c r="E503" s="10"/>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9"/>
      <c r="E504" s="10"/>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9"/>
      <c r="E505" s="10"/>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9"/>
      <c r="E506" s="10"/>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9"/>
      <c r="E507" s="10"/>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9"/>
      <c r="E508" s="10"/>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9"/>
      <c r="E509" s="10"/>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9"/>
      <c r="E510" s="10"/>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9"/>
      <c r="E511" s="10"/>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9"/>
      <c r="E512" s="10"/>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9"/>
      <c r="E513" s="10"/>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9"/>
      <c r="E514" s="10"/>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9"/>
      <c r="E515" s="10"/>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9"/>
      <c r="E516" s="10"/>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9"/>
      <c r="E517" s="10"/>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9"/>
      <c r="E518" s="10"/>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9"/>
      <c r="E519" s="10"/>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9"/>
      <c r="E520" s="10"/>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9"/>
      <c r="E521" s="10"/>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9"/>
      <c r="E522" s="10"/>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9"/>
      <c r="E523" s="10"/>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9"/>
      <c r="E524" s="10"/>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9"/>
      <c r="E525" s="10"/>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9"/>
      <c r="E526" s="10"/>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9"/>
      <c r="E527" s="10"/>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9"/>
      <c r="E528" s="10"/>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9"/>
      <c r="E529" s="10"/>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9"/>
      <c r="E530" s="10"/>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9"/>
      <c r="E531" s="10"/>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9"/>
      <c r="E532" s="10"/>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9"/>
      <c r="E533" s="10"/>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9"/>
      <c r="E534" s="10"/>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9"/>
      <c r="E535" s="10"/>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9"/>
      <c r="E536" s="10"/>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9"/>
      <c r="E537" s="10"/>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9"/>
      <c r="E538" s="10"/>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9"/>
      <c r="E539" s="10"/>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9"/>
      <c r="E540" s="10"/>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9"/>
      <c r="E541" s="10"/>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9"/>
      <c r="E542" s="10"/>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9"/>
      <c r="E543" s="10"/>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9"/>
      <c r="E544" s="10"/>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9"/>
      <c r="E545" s="10"/>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9"/>
      <c r="E546" s="10"/>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9"/>
      <c r="E547" s="10"/>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9"/>
      <c r="E548" s="10"/>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9"/>
      <c r="E549" s="10"/>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9"/>
      <c r="E550" s="10"/>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9"/>
      <c r="E551" s="10"/>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9"/>
      <c r="E552" s="10"/>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9"/>
      <c r="E553" s="10"/>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9"/>
      <c r="E554" s="10"/>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9"/>
      <c r="E555" s="10"/>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9"/>
      <c r="E556" s="10"/>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9"/>
      <c r="E557" s="10"/>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9"/>
      <c r="E558" s="10"/>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9"/>
      <c r="E559" s="10"/>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9"/>
      <c r="E560" s="10"/>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9"/>
      <c r="E561" s="10"/>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9"/>
      <c r="E562" s="10"/>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9"/>
      <c r="E563" s="10"/>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9"/>
      <c r="E564" s="10"/>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9"/>
      <c r="E565" s="10"/>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9"/>
      <c r="E566" s="10"/>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9"/>
      <c r="E567" s="10"/>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9"/>
      <c r="E568" s="10"/>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9"/>
      <c r="E569" s="10"/>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9"/>
      <c r="E570" s="10"/>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9"/>
      <c r="E571" s="10"/>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9"/>
      <c r="E572" s="10"/>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9"/>
      <c r="E573" s="10"/>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9"/>
      <c r="E574" s="10"/>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9"/>
      <c r="E575" s="10"/>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9"/>
      <c r="E576" s="10"/>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9"/>
      <c r="E577" s="10"/>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9"/>
      <c r="E578" s="10"/>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9"/>
      <c r="E579" s="10"/>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9"/>
      <c r="E580" s="10"/>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9"/>
      <c r="E581" s="10"/>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9"/>
      <c r="E582" s="10"/>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9"/>
      <c r="E583" s="10"/>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9"/>
      <c r="E584" s="10"/>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9"/>
      <c r="E585" s="10"/>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9"/>
      <c r="E586" s="10"/>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9"/>
      <c r="E587" s="10"/>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9"/>
      <c r="E588" s="10"/>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9"/>
      <c r="E589" s="10"/>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9"/>
      <c r="E590" s="10"/>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9"/>
      <c r="E591" s="10"/>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9"/>
      <c r="E592" s="10"/>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9"/>
      <c r="E593" s="10"/>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9"/>
      <c r="E594" s="10"/>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9"/>
      <c r="E595" s="10"/>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9"/>
      <c r="E596" s="10"/>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9"/>
      <c r="E597" s="10"/>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9"/>
      <c r="E598" s="10"/>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9"/>
      <c r="E599" s="10"/>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9"/>
      <c r="E600" s="10"/>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9"/>
      <c r="E601" s="10"/>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9"/>
      <c r="E602" s="10"/>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9"/>
      <c r="E603" s="10"/>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9"/>
      <c r="E604" s="10"/>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9"/>
      <c r="E605" s="10"/>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9"/>
      <c r="E606" s="10"/>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9"/>
      <c r="E607" s="10"/>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9"/>
      <c r="E608" s="10"/>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9"/>
      <c r="E609" s="10"/>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9"/>
      <c r="E610" s="10"/>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9"/>
      <c r="E611" s="10"/>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9"/>
      <c r="E612" s="10"/>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9"/>
      <c r="E613" s="10"/>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9"/>
      <c r="E614" s="10"/>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9"/>
      <c r="E615" s="10"/>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9"/>
      <c r="E616" s="10"/>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9"/>
      <c r="E617" s="10"/>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9"/>
      <c r="E618" s="10"/>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9"/>
      <c r="E619" s="10"/>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9"/>
      <c r="E620" s="10"/>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9"/>
      <c r="E621" s="10"/>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9"/>
      <c r="E622" s="10"/>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9"/>
      <c r="E623" s="10"/>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9"/>
      <c r="E624" s="10"/>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9"/>
      <c r="E625" s="10"/>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9"/>
      <c r="E626" s="10"/>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9"/>
      <c r="E627" s="10"/>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9"/>
      <c r="E628" s="10"/>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9"/>
      <c r="E629" s="10"/>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9"/>
      <c r="E630" s="10"/>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9"/>
      <c r="E631" s="10"/>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9"/>
      <c r="E632" s="10"/>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9"/>
      <c r="E633" s="10"/>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9"/>
      <c r="E634" s="10"/>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9"/>
      <c r="E635" s="10"/>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9"/>
      <c r="E636" s="10"/>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9"/>
      <c r="E637" s="10"/>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9"/>
      <c r="E638" s="10"/>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9"/>
      <c r="E639" s="10"/>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9"/>
      <c r="E640" s="10"/>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9"/>
      <c r="E641" s="10"/>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9"/>
      <c r="E642" s="10"/>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9"/>
      <c r="E643" s="10"/>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9"/>
      <c r="E644" s="10"/>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9"/>
      <c r="E645" s="10"/>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9"/>
      <c r="E646" s="10"/>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9"/>
      <c r="E647" s="10"/>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9"/>
      <c r="E648" s="10"/>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9"/>
      <c r="E649" s="10"/>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9"/>
      <c r="E650" s="10"/>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9"/>
      <c r="E651" s="10"/>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9"/>
      <c r="E652" s="10"/>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9"/>
      <c r="E653" s="10"/>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9"/>
      <c r="E654" s="10"/>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9"/>
      <c r="E655" s="10"/>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9"/>
      <c r="E656" s="10"/>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9"/>
      <c r="E657" s="10"/>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9"/>
      <c r="E658" s="10"/>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9"/>
      <c r="E659" s="10"/>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9"/>
      <c r="E660" s="10"/>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9"/>
      <c r="E661" s="10"/>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9"/>
      <c r="E662" s="10"/>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9"/>
      <c r="E663" s="10"/>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9"/>
      <c r="E664" s="10"/>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9"/>
      <c r="E665" s="10"/>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9"/>
      <c r="E666" s="10"/>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9"/>
      <c r="E667" s="10"/>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9"/>
      <c r="E668" s="10"/>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9"/>
      <c r="E669" s="10"/>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9"/>
      <c r="E670" s="10"/>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9"/>
      <c r="E671" s="10"/>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9"/>
      <c r="E672" s="10"/>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9"/>
      <c r="E673" s="10"/>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9"/>
      <c r="E674" s="10"/>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9"/>
      <c r="E675" s="10"/>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9"/>
      <c r="E676" s="10"/>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9"/>
      <c r="E677" s="10"/>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9"/>
      <c r="E678" s="10"/>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9"/>
      <c r="E679" s="10"/>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9"/>
      <c r="E680" s="10"/>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9"/>
      <c r="E681" s="10"/>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9"/>
      <c r="E682" s="10"/>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9"/>
      <c r="E683" s="10"/>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9"/>
      <c r="E684" s="10"/>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9"/>
      <c r="E685" s="10"/>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9"/>
      <c r="E686" s="10"/>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9"/>
      <c r="E687" s="10"/>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9"/>
      <c r="E688" s="10"/>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9"/>
      <c r="E689" s="10"/>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9"/>
      <c r="E690" s="10"/>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9"/>
      <c r="E691" s="10"/>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9"/>
      <c r="E692" s="10"/>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9"/>
      <c r="E693" s="10"/>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9"/>
      <c r="E694" s="10"/>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9"/>
      <c r="E695" s="10"/>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9"/>
      <c r="E696" s="10"/>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9"/>
      <c r="E697" s="10"/>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9"/>
      <c r="E698" s="10"/>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9"/>
      <c r="E699" s="10"/>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9"/>
      <c r="E700" s="10"/>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9"/>
      <c r="E701" s="10"/>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9"/>
      <c r="E702" s="10"/>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9"/>
      <c r="E703" s="10"/>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9"/>
      <c r="E704" s="10"/>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9"/>
      <c r="E705" s="10"/>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9"/>
      <c r="E706" s="10"/>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9"/>
      <c r="E707" s="10"/>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9"/>
      <c r="E708" s="10"/>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9"/>
      <c r="E709" s="10"/>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9"/>
      <c r="E710" s="10"/>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9"/>
      <c r="E711" s="10"/>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9"/>
      <c r="E712" s="10"/>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9"/>
      <c r="E713" s="10"/>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9"/>
      <c r="E714" s="10"/>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9"/>
      <c r="E715" s="10"/>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9"/>
      <c r="E716" s="10"/>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9"/>
      <c r="E717" s="10"/>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9"/>
      <c r="E718" s="10"/>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9"/>
      <c r="E719" s="10"/>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9"/>
      <c r="E720" s="10"/>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9"/>
      <c r="E721" s="10"/>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9"/>
      <c r="E722" s="10"/>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9"/>
      <c r="E723" s="10"/>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9"/>
      <c r="E724" s="10"/>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9"/>
      <c r="E725" s="10"/>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9"/>
      <c r="E726" s="10"/>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9"/>
      <c r="E727" s="10"/>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9"/>
      <c r="E728" s="10"/>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9"/>
      <c r="E729" s="10"/>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9"/>
      <c r="E730" s="10"/>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9"/>
      <c r="E731" s="10"/>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9"/>
      <c r="E732" s="10"/>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9"/>
      <c r="E733" s="10"/>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9"/>
      <c r="E734" s="10"/>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9"/>
      <c r="E735" s="10"/>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9"/>
      <c r="E736" s="10"/>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9"/>
      <c r="E737" s="10"/>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9"/>
      <c r="E738" s="10"/>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9"/>
      <c r="E739" s="10"/>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9"/>
      <c r="E740" s="10"/>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9"/>
      <c r="E741" s="10"/>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9"/>
      <c r="E742" s="10"/>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9"/>
      <c r="E743" s="10"/>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9"/>
      <c r="E744" s="10"/>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9"/>
      <c r="E745" s="10"/>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9"/>
      <c r="E746" s="10"/>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9"/>
      <c r="E747" s="10"/>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9"/>
      <c r="E748" s="10"/>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9"/>
      <c r="E749" s="10"/>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9"/>
      <c r="E750" s="10"/>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9"/>
      <c r="E751" s="10"/>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9"/>
      <c r="E752" s="10"/>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9"/>
      <c r="E753" s="10"/>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9"/>
      <c r="E754" s="10"/>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9"/>
      <c r="E755" s="10"/>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9"/>
      <c r="E756" s="10"/>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9"/>
      <c r="E757" s="10"/>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9"/>
      <c r="E758" s="10"/>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9"/>
      <c r="E759" s="10"/>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9"/>
      <c r="E760" s="10"/>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9"/>
      <c r="E761" s="10"/>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9"/>
      <c r="E762" s="10"/>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9"/>
      <c r="E763" s="10"/>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9"/>
      <c r="E764" s="10"/>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9"/>
      <c r="E765" s="10"/>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9"/>
      <c r="E766" s="10"/>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9"/>
      <c r="E767" s="10"/>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9"/>
      <c r="E768" s="10"/>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9"/>
      <c r="E769" s="10"/>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9"/>
      <c r="E770" s="10"/>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9"/>
      <c r="E771" s="10"/>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9"/>
      <c r="E772" s="10"/>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9"/>
      <c r="E773" s="10"/>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9"/>
      <c r="E774" s="10"/>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9"/>
      <c r="E775" s="10"/>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9"/>
      <c r="E776" s="10"/>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9"/>
      <c r="E777" s="10"/>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9"/>
      <c r="E778" s="10"/>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9"/>
      <c r="E779" s="10"/>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9"/>
      <c r="E780" s="10"/>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9"/>
      <c r="E781" s="10"/>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9"/>
      <c r="E782" s="10"/>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9"/>
      <c r="E783" s="10"/>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9"/>
      <c r="E784" s="10"/>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9"/>
      <c r="E785" s="10"/>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9"/>
      <c r="E786" s="10"/>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9"/>
      <c r="E787" s="10"/>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9"/>
      <c r="E788" s="10"/>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9"/>
      <c r="E789" s="10"/>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9"/>
      <c r="E790" s="10"/>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9"/>
      <c r="E791" s="10"/>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9"/>
      <c r="E792" s="10"/>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9"/>
      <c r="E793" s="10"/>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9"/>
      <c r="E794" s="10"/>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9"/>
      <c r="E795" s="10"/>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9"/>
      <c r="E796" s="10"/>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9"/>
      <c r="E797" s="10"/>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9"/>
      <c r="E798" s="10"/>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9"/>
      <c r="E799" s="10"/>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9"/>
      <c r="E800" s="10"/>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9"/>
      <c r="E801" s="10"/>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9"/>
      <c r="E802" s="10"/>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9"/>
      <c r="E803" s="10"/>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9"/>
      <c r="E804" s="10"/>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9"/>
      <c r="E805" s="10"/>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9"/>
      <c r="E806" s="10"/>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9"/>
      <c r="E807" s="10"/>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9"/>
      <c r="E808" s="10"/>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9"/>
      <c r="E809" s="10"/>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9"/>
      <c r="E810" s="10"/>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9"/>
      <c r="E811" s="10"/>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9"/>
      <c r="E812" s="10"/>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9"/>
      <c r="E813" s="10"/>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9"/>
      <c r="E814" s="10"/>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9"/>
      <c r="E815" s="10"/>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9"/>
      <c r="E816" s="10"/>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9"/>
      <c r="E817" s="10"/>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9"/>
      <c r="E818" s="10"/>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9"/>
      <c r="E819" s="10"/>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9"/>
      <c r="E820" s="10"/>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9"/>
      <c r="E821" s="10"/>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9"/>
      <c r="E822" s="10"/>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9"/>
      <c r="E823" s="10"/>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9"/>
      <c r="E824" s="10"/>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9"/>
      <c r="E825" s="10"/>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9"/>
      <c r="E826" s="10"/>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9"/>
      <c r="E827" s="10"/>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9"/>
      <c r="E828" s="10"/>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9"/>
      <c r="E829" s="10"/>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9"/>
      <c r="E830" s="10"/>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9"/>
      <c r="E831" s="10"/>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9"/>
      <c r="E832" s="10"/>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9"/>
      <c r="E833" s="10"/>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9"/>
      <c r="E834" s="10"/>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9"/>
      <c r="E835" s="10"/>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9"/>
      <c r="E836" s="10"/>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9"/>
      <c r="E837" s="10"/>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9"/>
      <c r="E838" s="10"/>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9"/>
      <c r="E839" s="10"/>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9"/>
      <c r="E840" s="10"/>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9"/>
      <c r="E841" s="10"/>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9"/>
      <c r="E842" s="10"/>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9"/>
      <c r="E843" s="10"/>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9"/>
      <c r="E844" s="10"/>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9"/>
      <c r="E845" s="10"/>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9"/>
      <c r="E846" s="10"/>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9"/>
      <c r="E847" s="10"/>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9"/>
      <c r="E848" s="10"/>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9"/>
      <c r="E849" s="10"/>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9"/>
      <c r="E850" s="10"/>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9"/>
      <c r="E851" s="10"/>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9"/>
      <c r="E852" s="10"/>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9"/>
      <c r="E853" s="10"/>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9"/>
      <c r="E854" s="10"/>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9"/>
      <c r="E855" s="10"/>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9"/>
      <c r="E856" s="10"/>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9"/>
      <c r="E857" s="10"/>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9"/>
      <c r="E858" s="10"/>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9"/>
      <c r="E859" s="10"/>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9"/>
      <c r="E860" s="10"/>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9"/>
      <c r="E861" s="10"/>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9"/>
      <c r="E862" s="10"/>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9"/>
      <c r="E863" s="10"/>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9"/>
      <c r="E864" s="10"/>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9"/>
      <c r="E865" s="10"/>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9"/>
      <c r="E866" s="10"/>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9"/>
      <c r="E867" s="10"/>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9"/>
      <c r="E868" s="10"/>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9"/>
      <c r="E869" s="10"/>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9"/>
      <c r="E870" s="10"/>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9"/>
      <c r="E871" s="10"/>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9"/>
      <c r="E872" s="10"/>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9"/>
      <c r="E873" s="10"/>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9"/>
      <c r="E874" s="10"/>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9"/>
      <c r="E875" s="10"/>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9"/>
      <c r="E876" s="10"/>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9"/>
      <c r="E877" s="10"/>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9"/>
      <c r="E878" s="10"/>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9"/>
      <c r="E879" s="10"/>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9"/>
      <c r="E880" s="10"/>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9"/>
      <c r="E881" s="10"/>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9"/>
      <c r="E882" s="10"/>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9"/>
      <c r="E883" s="10"/>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9"/>
      <c r="E884" s="10"/>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9"/>
      <c r="E885" s="10"/>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9"/>
      <c r="E886" s="10"/>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9"/>
      <c r="E887" s="10"/>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9"/>
      <c r="E888" s="10"/>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9"/>
      <c r="E889" s="10"/>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9"/>
      <c r="E890" s="10"/>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9"/>
      <c r="E891" s="10"/>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9"/>
      <c r="E892" s="10"/>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9"/>
      <c r="E893" s="10"/>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9"/>
      <c r="E894" s="10"/>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9"/>
      <c r="E895" s="10"/>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9"/>
      <c r="E896" s="10"/>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9"/>
      <c r="E897" s="10"/>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9"/>
      <c r="E898" s="10"/>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9"/>
      <c r="E899" s="10"/>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9"/>
      <c r="E900" s="10"/>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9"/>
      <c r="E901" s="10"/>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9"/>
      <c r="E902" s="10"/>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9"/>
      <c r="E903" s="10"/>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9"/>
      <c r="E904" s="10"/>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9"/>
      <c r="E905" s="10"/>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9"/>
      <c r="E906" s="10"/>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9"/>
      <c r="E907" s="10"/>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9"/>
      <c r="E908" s="10"/>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9"/>
      <c r="E909" s="10"/>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9"/>
      <c r="E910" s="10"/>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9"/>
      <c r="E911" s="10"/>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9"/>
      <c r="E912" s="10"/>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9"/>
      <c r="E913" s="10"/>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9"/>
      <c r="E914" s="10"/>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9"/>
      <c r="E915" s="10"/>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9"/>
      <c r="E916" s="10"/>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9"/>
      <c r="E917" s="10"/>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9"/>
      <c r="E918" s="10"/>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9"/>
      <c r="E919" s="10"/>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9"/>
      <c r="E920" s="10"/>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9"/>
      <c r="E921" s="10"/>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9"/>
      <c r="E922" s="10"/>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9"/>
      <c r="E923" s="10"/>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9"/>
      <c r="E924" s="10"/>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9"/>
      <c r="E925" s="10"/>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9"/>
      <c r="E926" s="10"/>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9"/>
      <c r="E927" s="10"/>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9"/>
      <c r="E928" s="10"/>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9"/>
      <c r="E929" s="10"/>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9"/>
      <c r="E930" s="10"/>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9"/>
      <c r="E931" s="10"/>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9"/>
      <c r="E932" s="10"/>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9"/>
      <c r="E933" s="10"/>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9"/>
      <c r="E934" s="10"/>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9"/>
      <c r="E935" s="10"/>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9"/>
      <c r="E936" s="10"/>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9"/>
      <c r="E937" s="10"/>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9"/>
      <c r="E938" s="10"/>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9"/>
      <c r="E939" s="10"/>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9"/>
      <c r="E940" s="10"/>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9"/>
      <c r="E941" s="10"/>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9"/>
      <c r="E942" s="10"/>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9"/>
      <c r="E943" s="10"/>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9"/>
      <c r="E944" s="10"/>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9"/>
      <c r="E945" s="10"/>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9"/>
      <c r="E946" s="10"/>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9"/>
      <c r="E947" s="10"/>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9"/>
      <c r="E948" s="10"/>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9"/>
      <c r="E949" s="10"/>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9"/>
      <c r="E950" s="10"/>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9"/>
      <c r="E951" s="10"/>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9"/>
      <c r="E952" s="10"/>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9"/>
      <c r="E953" s="10"/>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9"/>
      <c r="E954" s="10"/>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9"/>
      <c r="E955" s="10"/>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9"/>
      <c r="E956" s="10"/>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9"/>
      <c r="E957" s="10"/>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9"/>
      <c r="E958" s="10"/>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9"/>
      <c r="E959" s="10"/>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9"/>
      <c r="E960" s="10"/>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9"/>
      <c r="E961" s="10"/>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9"/>
      <c r="E962" s="10"/>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9"/>
      <c r="E963" s="10"/>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9"/>
      <c r="E964" s="10"/>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9"/>
      <c r="E965" s="10"/>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9"/>
      <c r="E966" s="10"/>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9"/>
      <c r="E967" s="10"/>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9"/>
      <c r="E968" s="10"/>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9"/>
      <c r="E969" s="10"/>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9"/>
      <c r="E970" s="10"/>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9"/>
      <c r="E971" s="10"/>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9"/>
      <c r="E972" s="10"/>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9"/>
      <c r="E973" s="10"/>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9"/>
      <c r="E974" s="10"/>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9"/>
      <c r="E975" s="10"/>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9"/>
      <c r="E976" s="10"/>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9"/>
      <c r="E977" s="10"/>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9"/>
      <c r="E978" s="10"/>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9"/>
      <c r="E979" s="10"/>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9"/>
      <c r="E980" s="10"/>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9"/>
      <c r="E981" s="10"/>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9"/>
      <c r="E982" s="10"/>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9"/>
      <c r="E983" s="10"/>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9"/>
      <c r="E984" s="10"/>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9"/>
      <c r="E985" s="10"/>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9"/>
      <c r="E986" s="10"/>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9"/>
      <c r="E987" s="10"/>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9"/>
      <c r="E988" s="10"/>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9"/>
      <c r="E989" s="10"/>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9"/>
      <c r="E990" s="10"/>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9"/>
      <c r="E991" s="10"/>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9"/>
      <c r="E992" s="10"/>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9"/>
      <c r="E993" s="10"/>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9"/>
      <c r="E994" s="10"/>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9"/>
      <c r="E995" s="10"/>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9"/>
      <c r="E996" s="10"/>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9"/>
      <c r="E997" s="10"/>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9"/>
      <c r="E998" s="10"/>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9"/>
      <c r="E999" s="10"/>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9"/>
      <c r="E1000" s="10"/>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85:D85"/>
    <mergeCell ref="B86:D86"/>
    <mergeCell ref="B94:D94"/>
    <mergeCell ref="D24:D25"/>
    <mergeCell ref="B65:D65"/>
    <mergeCell ref="B66:D66"/>
    <mergeCell ref="B67:C67"/>
    <mergeCell ref="B68:D68"/>
    <mergeCell ref="B72:D72"/>
    <mergeCell ref="B73:D73"/>
    <mergeCell ref="B74:D74"/>
    <mergeCell ref="B75:D75"/>
    <mergeCell ref="B76:D76"/>
    <mergeCell ref="B80:D80"/>
    <mergeCell ref="B81:C81"/>
    <mergeCell ref="B1:E1"/>
    <mergeCell ref="B2:E2"/>
    <mergeCell ref="B3:E3"/>
    <mergeCell ref="B6:E6"/>
    <mergeCell ref="B24:B25"/>
    <mergeCell ref="C24:C25"/>
    <mergeCell ref="E24:G24"/>
  </mergeCells>
  <hyperlinks>
    <hyperlink ref="B96" r:id="rId1" xr:uid="{00000000-0004-0000-0000-000000000000}"/>
  </hyperlinks>
  <pageMargins left="0.511811024" right="0.511811024" top="0.78740157499999996" bottom="0.78740157499999996"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tabSelected="1" workbookViewId="0">
      <selection activeCell="B19" sqref="B19"/>
    </sheetView>
  </sheetViews>
  <sheetFormatPr defaultColWidth="22.33203125" defaultRowHeight="15" customHeight="1" x14ac:dyDescent="0.25"/>
  <cols>
    <col min="1" max="16384" width="22.33203125" style="85"/>
  </cols>
  <sheetData>
    <row r="1" spans="1:26" ht="12.75" customHeight="1" x14ac:dyDescent="0.3">
      <c r="A1" s="77" t="s">
        <v>0</v>
      </c>
      <c r="B1" s="78"/>
      <c r="C1" s="79"/>
      <c r="D1" s="79"/>
      <c r="E1" s="79"/>
      <c r="F1" s="79"/>
      <c r="G1" s="79"/>
      <c r="H1" s="79"/>
      <c r="I1" s="79"/>
      <c r="J1" s="82"/>
      <c r="K1" s="78"/>
      <c r="L1" s="78"/>
      <c r="M1" s="79"/>
      <c r="N1" s="79"/>
      <c r="O1" s="79"/>
      <c r="P1" s="79"/>
      <c r="Q1" s="79"/>
      <c r="R1" s="79"/>
      <c r="S1" s="108"/>
      <c r="T1" s="108"/>
      <c r="U1" s="108"/>
      <c r="V1" s="108"/>
    </row>
    <row r="2" spans="1:26" ht="7.5" customHeight="1" x14ac:dyDescent="0.3">
      <c r="A2" s="87"/>
      <c r="B2" s="87"/>
      <c r="C2" s="88"/>
      <c r="D2" s="88"/>
      <c r="E2" s="88"/>
      <c r="F2" s="88"/>
      <c r="G2" s="88"/>
      <c r="H2" s="88"/>
      <c r="I2" s="88"/>
      <c r="J2" s="86"/>
      <c r="K2" s="87"/>
      <c r="L2" s="87"/>
      <c r="M2" s="88"/>
      <c r="N2" s="88"/>
      <c r="O2" s="88"/>
      <c r="P2" s="88"/>
      <c r="Q2" s="88"/>
      <c r="R2" s="88"/>
      <c r="S2" s="108"/>
      <c r="T2" s="108"/>
      <c r="U2" s="108"/>
      <c r="V2" s="108"/>
      <c r="W2" s="108"/>
      <c r="X2" s="108"/>
      <c r="Y2" s="108"/>
      <c r="Z2" s="108"/>
    </row>
    <row r="3" spans="1:26" ht="21.75" customHeight="1" x14ac:dyDescent="0.3">
      <c r="A3" s="76" t="s">
        <v>202</v>
      </c>
      <c r="B3" s="132"/>
      <c r="C3" s="132"/>
      <c r="D3" s="132"/>
      <c r="E3" s="132"/>
      <c r="F3" s="132"/>
      <c r="G3" s="132"/>
      <c r="H3" s="132"/>
      <c r="I3" s="132"/>
      <c r="J3" s="132"/>
      <c r="K3" s="132"/>
      <c r="L3" s="132"/>
      <c r="M3" s="132"/>
      <c r="N3" s="132"/>
      <c r="O3" s="132"/>
      <c r="P3" s="133"/>
      <c r="Q3" s="111"/>
      <c r="R3" s="111"/>
      <c r="S3" s="111"/>
      <c r="T3" s="108"/>
      <c r="U3" s="108"/>
      <c r="V3" s="108"/>
    </row>
    <row r="4" spans="1:26" ht="10.5" customHeight="1" x14ac:dyDescent="0.3">
      <c r="A4" s="95"/>
      <c r="B4" s="95"/>
      <c r="C4" s="95"/>
      <c r="D4" s="95"/>
      <c r="E4" s="95"/>
      <c r="F4" s="95"/>
      <c r="G4" s="95"/>
      <c r="H4" s="95"/>
      <c r="I4" s="95"/>
      <c r="J4" s="95"/>
      <c r="K4" s="95"/>
      <c r="L4" s="95"/>
      <c r="M4" s="95"/>
      <c r="N4" s="95"/>
      <c r="O4" s="95"/>
      <c r="P4" s="95"/>
      <c r="Q4" s="111"/>
      <c r="R4" s="111"/>
      <c r="S4" s="111"/>
      <c r="T4" s="108"/>
      <c r="U4" s="108"/>
      <c r="V4" s="108"/>
    </row>
    <row r="5" spans="1:26" ht="12.75" customHeight="1" x14ac:dyDescent="0.25">
      <c r="A5" s="112" t="s">
        <v>37</v>
      </c>
      <c r="B5" s="113" t="s">
        <v>38</v>
      </c>
      <c r="C5" s="74" t="s">
        <v>40</v>
      </c>
      <c r="D5" s="114"/>
      <c r="E5" s="114"/>
      <c r="F5" s="114"/>
      <c r="G5" s="115"/>
      <c r="H5" s="75" t="s">
        <v>43</v>
      </c>
      <c r="I5" s="114"/>
      <c r="J5" s="114"/>
      <c r="K5" s="114"/>
      <c r="L5" s="115"/>
      <c r="M5" s="75" t="s">
        <v>44</v>
      </c>
      <c r="N5" s="114"/>
      <c r="O5" s="114"/>
      <c r="P5" s="114"/>
      <c r="Q5" s="116"/>
    </row>
    <row r="6" spans="1:26" ht="12.75" customHeight="1" x14ac:dyDescent="0.25">
      <c r="A6" s="117"/>
      <c r="B6" s="118"/>
      <c r="C6" s="119"/>
      <c r="D6" s="120"/>
      <c r="E6" s="120"/>
      <c r="F6" s="120"/>
      <c r="G6" s="121"/>
      <c r="H6" s="122"/>
      <c r="I6" s="120"/>
      <c r="J6" s="120"/>
      <c r="K6" s="120"/>
      <c r="L6" s="121"/>
      <c r="M6" s="122"/>
      <c r="N6" s="120"/>
      <c r="O6" s="120"/>
      <c r="P6" s="120"/>
      <c r="Q6" s="123"/>
    </row>
    <row r="7" spans="1:26" ht="12.75" customHeight="1" x14ac:dyDescent="0.25">
      <c r="A7" s="124"/>
      <c r="B7" s="125"/>
      <c r="C7" s="126" t="s">
        <v>46</v>
      </c>
      <c r="D7" s="127" t="s">
        <v>48</v>
      </c>
      <c r="E7" s="127" t="s">
        <v>49</v>
      </c>
      <c r="F7" s="127" t="s">
        <v>50</v>
      </c>
      <c r="G7" s="127" t="s">
        <v>51</v>
      </c>
      <c r="H7" s="127" t="s">
        <v>46</v>
      </c>
      <c r="I7" s="127" t="s">
        <v>52</v>
      </c>
      <c r="J7" s="127" t="s">
        <v>53</v>
      </c>
      <c r="K7" s="127" t="s">
        <v>54</v>
      </c>
      <c r="L7" s="127" t="s">
        <v>55</v>
      </c>
      <c r="M7" s="127" t="s">
        <v>46</v>
      </c>
      <c r="N7" s="127" t="s">
        <v>56</v>
      </c>
      <c r="O7" s="127" t="s">
        <v>57</v>
      </c>
      <c r="P7" s="127" t="s">
        <v>58</v>
      </c>
      <c r="Q7" s="128" t="s">
        <v>203</v>
      </c>
    </row>
    <row r="8" spans="1:26" ht="12.75" customHeight="1" x14ac:dyDescent="0.25">
      <c r="A8" s="105" t="s">
        <v>42</v>
      </c>
      <c r="B8" s="106">
        <v>64.494873319999996</v>
      </c>
      <c r="C8" s="106">
        <v>73.143386969999995</v>
      </c>
      <c r="D8" s="106">
        <v>54.321665080000002</v>
      </c>
      <c r="E8" s="106">
        <v>81.500430899999998</v>
      </c>
      <c r="F8" s="106">
        <v>82.565315159999997</v>
      </c>
      <c r="G8" s="106">
        <v>74.186136770000005</v>
      </c>
      <c r="H8" s="106">
        <v>52.108808789999998</v>
      </c>
      <c r="I8" s="106">
        <v>70.203707570000006</v>
      </c>
      <c r="J8" s="106">
        <v>54.29557621</v>
      </c>
      <c r="K8" s="106">
        <v>51.495228449999999</v>
      </c>
      <c r="L8" s="106">
        <v>32.440722950000001</v>
      </c>
      <c r="M8" s="106">
        <v>68.232424204437919</v>
      </c>
      <c r="N8" s="106">
        <v>65.589409000000003</v>
      </c>
      <c r="O8" s="106">
        <v>84.034310230000003</v>
      </c>
      <c r="P8" s="106">
        <v>91.883144369999997</v>
      </c>
      <c r="Q8" s="106">
        <v>31.422833220000001</v>
      </c>
    </row>
    <row r="9" spans="1:26" ht="12.75" customHeight="1" x14ac:dyDescent="0.25">
      <c r="A9" s="105" t="s">
        <v>45</v>
      </c>
      <c r="B9" s="106">
        <v>52.764135590000002</v>
      </c>
      <c r="C9" s="106">
        <v>70.131931870000003</v>
      </c>
      <c r="D9" s="106">
        <v>51.614671229999999</v>
      </c>
      <c r="E9" s="106">
        <v>90.391875389999996</v>
      </c>
      <c r="F9" s="106">
        <v>78.596544230000006</v>
      </c>
      <c r="G9" s="106">
        <v>59.924636640000003</v>
      </c>
      <c r="H9" s="106">
        <v>36.103493909999997</v>
      </c>
      <c r="I9" s="106">
        <v>55.730296099999997</v>
      </c>
      <c r="J9" s="106">
        <v>25.903900440000001</v>
      </c>
      <c r="K9" s="106">
        <v>32.713877709999998</v>
      </c>
      <c r="L9" s="106">
        <v>30.06590138</v>
      </c>
      <c r="M9" s="106">
        <v>52.056980979999999</v>
      </c>
      <c r="N9" s="106">
        <v>42.328582150000003</v>
      </c>
      <c r="O9" s="106">
        <v>74.775562890000003</v>
      </c>
      <c r="P9" s="106">
        <v>86.356578470000002</v>
      </c>
      <c r="Q9" s="106">
        <v>4.767200409</v>
      </c>
    </row>
    <row r="10" spans="1:26" ht="12.75" customHeight="1" x14ac:dyDescent="0.25">
      <c r="A10" s="105" t="s">
        <v>47</v>
      </c>
      <c r="B10" s="106">
        <v>57.664544059999997</v>
      </c>
      <c r="C10" s="106">
        <v>53.756935570000003</v>
      </c>
      <c r="D10" s="106">
        <v>33.882072719999996</v>
      </c>
      <c r="E10" s="106">
        <v>86.845822990000002</v>
      </c>
      <c r="F10" s="106">
        <v>94.299846549999998</v>
      </c>
      <c r="G10" s="106">
        <v>0</v>
      </c>
      <c r="H10" s="106">
        <v>54.759564509999997</v>
      </c>
      <c r="I10" s="106">
        <v>75.916868940000001</v>
      </c>
      <c r="J10" s="106">
        <v>60.370189359999998</v>
      </c>
      <c r="K10" s="106">
        <v>46.091100429999997</v>
      </c>
      <c r="L10" s="106">
        <v>36.66009932</v>
      </c>
      <c r="M10" s="106">
        <v>64.477132109999999</v>
      </c>
      <c r="N10" s="106">
        <v>67.552046840000003</v>
      </c>
      <c r="O10" s="106">
        <v>88.742392249999995</v>
      </c>
      <c r="P10" s="106">
        <v>54.958361099999998</v>
      </c>
      <c r="Q10" s="106">
        <v>46.655728269999997</v>
      </c>
    </row>
    <row r="11" spans="1:26" ht="12.75" customHeight="1" x14ac:dyDescent="0.25">
      <c r="A11" s="105" t="s">
        <v>59</v>
      </c>
      <c r="B11" s="106">
        <v>63.917498559999999</v>
      </c>
      <c r="C11" s="106">
        <v>70.510925169999993</v>
      </c>
      <c r="D11" s="106">
        <v>46.771104909999998</v>
      </c>
      <c r="E11" s="106">
        <v>86.604688929999995</v>
      </c>
      <c r="F11" s="106">
        <v>78.576726750000006</v>
      </c>
      <c r="G11" s="106">
        <v>70.091180109999996</v>
      </c>
      <c r="H11" s="106">
        <v>54.341605690000002</v>
      </c>
      <c r="I11" s="106">
        <v>90.150811590000004</v>
      </c>
      <c r="J11" s="106">
        <v>45.545216660000001</v>
      </c>
      <c r="K11" s="106">
        <v>47.157859559999999</v>
      </c>
      <c r="L11" s="106">
        <v>34.512534940000002</v>
      </c>
      <c r="M11" s="106">
        <v>66.89996481</v>
      </c>
      <c r="N11" s="106">
        <v>73.528191120000002</v>
      </c>
      <c r="O11" s="106">
        <v>81.062691450000003</v>
      </c>
      <c r="P11" s="106">
        <v>91.1535504</v>
      </c>
      <c r="Q11" s="106">
        <v>21.85542629</v>
      </c>
    </row>
    <row r="12" spans="1:26" ht="12.75" customHeight="1" x14ac:dyDescent="0.25">
      <c r="A12" s="105" t="s">
        <v>60</v>
      </c>
      <c r="B12" s="106">
        <v>89.090704540000004</v>
      </c>
      <c r="C12" s="106">
        <v>91.855202689999999</v>
      </c>
      <c r="D12" s="106">
        <v>79.100457800000001</v>
      </c>
      <c r="E12" s="106">
        <v>99.257006390000001</v>
      </c>
      <c r="F12" s="106">
        <v>99.18463758</v>
      </c>
      <c r="G12" s="106">
        <v>89.878708979999999</v>
      </c>
      <c r="H12" s="106">
        <v>80.823060709999993</v>
      </c>
      <c r="I12" s="106">
        <v>83.479413190000002</v>
      </c>
      <c r="J12" s="106">
        <v>91.972760800000003</v>
      </c>
      <c r="K12" s="106">
        <v>73.913851039999997</v>
      </c>
      <c r="L12" s="106">
        <v>73.926217809999997</v>
      </c>
      <c r="M12" s="106">
        <v>94.593850219999993</v>
      </c>
      <c r="N12" s="106">
        <v>82.830232460000005</v>
      </c>
      <c r="O12" s="106">
        <v>97.030586220000004</v>
      </c>
      <c r="P12" s="106">
        <v>99.221612750000006</v>
      </c>
      <c r="Q12" s="106">
        <v>99.292969439999993</v>
      </c>
    </row>
    <row r="13" spans="1:26" ht="12.75" customHeight="1" x14ac:dyDescent="0.25">
      <c r="A13" s="105" t="s">
        <v>62</v>
      </c>
      <c r="B13" s="106">
        <v>84.101396140000006</v>
      </c>
      <c r="C13" s="106">
        <v>88.69411221</v>
      </c>
      <c r="D13" s="106">
        <v>71.558616639999997</v>
      </c>
      <c r="E13" s="106">
        <v>99.257006390000001</v>
      </c>
      <c r="F13" s="106">
        <v>96.512366990000004</v>
      </c>
      <c r="G13" s="106">
        <v>87.448458830000007</v>
      </c>
      <c r="H13" s="106">
        <v>72.08074886</v>
      </c>
      <c r="I13" s="106">
        <v>82.863518330000005</v>
      </c>
      <c r="J13" s="106">
        <v>83.757550530000003</v>
      </c>
      <c r="K13" s="106">
        <v>75.997055340000003</v>
      </c>
      <c r="L13" s="106">
        <v>45.704871230000002</v>
      </c>
      <c r="M13" s="106">
        <v>91.529327339999995</v>
      </c>
      <c r="N13" s="106">
        <v>90.770022010000005</v>
      </c>
      <c r="O13" s="106">
        <v>93.842654629999998</v>
      </c>
      <c r="P13" s="106">
        <v>98.715364649999998</v>
      </c>
      <c r="Q13" s="106">
        <v>82.789268089999993</v>
      </c>
    </row>
    <row r="14" spans="1:26" ht="12.75" customHeight="1" x14ac:dyDescent="0.25">
      <c r="A14" s="105" t="s">
        <v>63</v>
      </c>
      <c r="B14" s="106">
        <v>85.581946009999996</v>
      </c>
      <c r="C14" s="106">
        <v>92.596262100000004</v>
      </c>
      <c r="D14" s="106">
        <v>79.357323820000005</v>
      </c>
      <c r="E14" s="106">
        <v>100</v>
      </c>
      <c r="F14" s="106">
        <v>97.767662079999994</v>
      </c>
      <c r="G14" s="106">
        <v>93.260062500000004</v>
      </c>
      <c r="H14" s="106">
        <v>76.41824656</v>
      </c>
      <c r="I14" s="106">
        <v>80.722753400000002</v>
      </c>
      <c r="J14" s="106">
        <v>94.113357919999999</v>
      </c>
      <c r="K14" s="106">
        <v>76.390241340000003</v>
      </c>
      <c r="L14" s="106">
        <v>54.446633560000002</v>
      </c>
      <c r="M14" s="106">
        <v>87.731329369999997</v>
      </c>
      <c r="N14" s="106">
        <v>74.997031329999999</v>
      </c>
      <c r="O14" s="106">
        <v>99.295282659999998</v>
      </c>
      <c r="P14" s="106">
        <v>98.719197750000006</v>
      </c>
      <c r="Q14" s="106">
        <v>77.913805730000007</v>
      </c>
    </row>
    <row r="15" spans="1:26" ht="12.75" customHeight="1" x14ac:dyDescent="0.25">
      <c r="A15" s="105" t="s">
        <v>64</v>
      </c>
      <c r="B15" s="106">
        <v>59.13199006</v>
      </c>
      <c r="C15" s="106">
        <v>70.841016409999995</v>
      </c>
      <c r="D15" s="106">
        <v>51.54536212</v>
      </c>
      <c r="E15" s="106">
        <v>87.347682539999994</v>
      </c>
      <c r="F15" s="106">
        <v>78.544475300000002</v>
      </c>
      <c r="G15" s="106">
        <v>65.926545680000004</v>
      </c>
      <c r="H15" s="106">
        <v>42.10050674</v>
      </c>
      <c r="I15" s="106">
        <v>69.783738439999993</v>
      </c>
      <c r="J15" s="106">
        <v>40.728873139999997</v>
      </c>
      <c r="K15" s="106">
        <v>21.077811270000002</v>
      </c>
      <c r="L15" s="106">
        <v>36.811604109999998</v>
      </c>
      <c r="M15" s="106">
        <v>64.454447040000005</v>
      </c>
      <c r="N15" s="106">
        <v>72.731394219999999</v>
      </c>
      <c r="O15" s="106">
        <v>81.466509209999998</v>
      </c>
      <c r="P15" s="106">
        <v>87.999474890000002</v>
      </c>
      <c r="Q15" s="106">
        <v>15.620409840000001</v>
      </c>
    </row>
    <row r="16" spans="1:26" ht="12.75" customHeight="1" x14ac:dyDescent="0.25">
      <c r="A16" s="105" t="s">
        <v>65</v>
      </c>
      <c r="B16" s="106">
        <v>79.509206910000003</v>
      </c>
      <c r="C16" s="106">
        <v>81.460579109999998</v>
      </c>
      <c r="D16" s="106">
        <v>55.9246476</v>
      </c>
      <c r="E16" s="106">
        <v>84.180478980000004</v>
      </c>
      <c r="F16" s="106">
        <v>95.910753920000005</v>
      </c>
      <c r="G16" s="106">
        <v>89.826435930000002</v>
      </c>
      <c r="H16" s="106">
        <v>66.290494659999993</v>
      </c>
      <c r="I16" s="106">
        <v>68.353756230000002</v>
      </c>
      <c r="J16" s="106">
        <v>83.222401250000004</v>
      </c>
      <c r="K16" s="106">
        <v>74.702405040000002</v>
      </c>
      <c r="L16" s="106">
        <v>38.883416099999998</v>
      </c>
      <c r="M16" s="106">
        <v>90.776546960000005</v>
      </c>
      <c r="N16" s="106">
        <v>88.158769000000007</v>
      </c>
      <c r="O16" s="106">
        <v>98.422522729999997</v>
      </c>
      <c r="P16" s="106">
        <v>99.929146889999998</v>
      </c>
      <c r="Q16" s="106">
        <v>76.595749240000004</v>
      </c>
    </row>
    <row r="17" spans="1:17" ht="12.75" customHeight="1" x14ac:dyDescent="0.25">
      <c r="A17" s="105" t="s">
        <v>66</v>
      </c>
      <c r="B17" s="106">
        <v>75.739860160000006</v>
      </c>
      <c r="C17" s="106">
        <v>77.444371239999995</v>
      </c>
      <c r="D17" s="106">
        <v>43.81463411</v>
      </c>
      <c r="E17" s="106">
        <v>95.01386531</v>
      </c>
      <c r="F17" s="106">
        <v>86.897081850000006</v>
      </c>
      <c r="G17" s="106">
        <v>84.051903659999994</v>
      </c>
      <c r="H17" s="106">
        <v>67.785956749999997</v>
      </c>
      <c r="I17" s="106">
        <v>68.301758169999999</v>
      </c>
      <c r="J17" s="106">
        <v>81.616953409999994</v>
      </c>
      <c r="K17" s="106">
        <v>67.081491439999994</v>
      </c>
      <c r="L17" s="106">
        <v>54.143623980000001</v>
      </c>
      <c r="M17" s="106">
        <v>81.989252489999998</v>
      </c>
      <c r="N17" s="106">
        <v>65.256115109999996</v>
      </c>
      <c r="O17" s="106">
        <v>91.957912570000005</v>
      </c>
      <c r="P17" s="106">
        <v>98.084896869999994</v>
      </c>
      <c r="Q17" s="106">
        <v>72.65808543</v>
      </c>
    </row>
    <row r="18" spans="1:17" ht="12.75" customHeight="1" x14ac:dyDescent="0.25">
      <c r="A18" s="105" t="s">
        <v>67</v>
      </c>
      <c r="B18" s="106">
        <v>62.520323869999999</v>
      </c>
      <c r="C18" s="106">
        <v>73.619250980000004</v>
      </c>
      <c r="D18" s="106">
        <v>51.419656170000003</v>
      </c>
      <c r="E18" s="106">
        <v>97.196941210000006</v>
      </c>
      <c r="F18" s="106">
        <v>73.470802890000002</v>
      </c>
      <c r="G18" s="106">
        <v>72.389603649999998</v>
      </c>
      <c r="H18" s="106">
        <v>46.012832289999999</v>
      </c>
      <c r="I18" s="106">
        <v>65.445229670000003</v>
      </c>
      <c r="J18" s="106">
        <v>58.764741520000001</v>
      </c>
      <c r="K18" s="106">
        <v>31.84726861</v>
      </c>
      <c r="L18" s="106">
        <v>27.994089389999999</v>
      </c>
      <c r="M18" s="106">
        <v>67.92888834</v>
      </c>
      <c r="N18" s="106">
        <v>82.100305989999995</v>
      </c>
      <c r="O18" s="106">
        <v>76.076835959999997</v>
      </c>
      <c r="P18" s="106">
        <v>91.321971739999995</v>
      </c>
      <c r="Q18" s="106">
        <v>22.21643967</v>
      </c>
    </row>
    <row r="19" spans="1:17" ht="12.75" customHeight="1" x14ac:dyDescent="0.25">
      <c r="A19" s="105" t="s">
        <v>68</v>
      </c>
      <c r="B19" s="106">
        <v>63.183138790000001</v>
      </c>
      <c r="C19" s="106">
        <v>77.595119449999999</v>
      </c>
      <c r="D19" s="106">
        <v>65.168881870000007</v>
      </c>
      <c r="E19" s="106">
        <v>97.939934809999997</v>
      </c>
      <c r="F19" s="106">
        <v>90.763624800000002</v>
      </c>
      <c r="G19" s="106">
        <v>56.508036320000002</v>
      </c>
      <c r="H19" s="106">
        <v>49.146312770000002</v>
      </c>
      <c r="I19" s="106">
        <v>67.32720836</v>
      </c>
      <c r="J19" s="106">
        <v>47.150664499999998</v>
      </c>
      <c r="K19" s="106">
        <v>56.109348429999997</v>
      </c>
      <c r="L19" s="106">
        <v>25.998029800000001</v>
      </c>
      <c r="M19" s="106">
        <v>62.807984159999997</v>
      </c>
      <c r="N19" s="106">
        <v>60.063788860000003</v>
      </c>
      <c r="O19" s="106">
        <v>80.276989760000006</v>
      </c>
      <c r="P19" s="106">
        <v>87.988436579999998</v>
      </c>
      <c r="Q19" s="106">
        <v>22.902721440000001</v>
      </c>
    </row>
    <row r="20" spans="1:17" ht="12.75" customHeight="1" x14ac:dyDescent="0.25">
      <c r="A20" s="105" t="s">
        <v>69</v>
      </c>
      <c r="B20" s="106">
        <v>62.56271787</v>
      </c>
      <c r="C20" s="106">
        <v>71.743010310000003</v>
      </c>
      <c r="D20" s="106">
        <v>44.841474480000002</v>
      </c>
      <c r="E20" s="106">
        <v>91.636728550000001</v>
      </c>
      <c r="F20" s="106">
        <v>86.868310579999999</v>
      </c>
      <c r="G20" s="106">
        <v>63.625527609999999</v>
      </c>
      <c r="H20" s="106">
        <v>42.901933</v>
      </c>
      <c r="I20" s="106">
        <v>55.011156339999999</v>
      </c>
      <c r="J20" s="106">
        <v>52.154979089999998</v>
      </c>
      <c r="K20" s="106">
        <v>38.519319150000001</v>
      </c>
      <c r="L20" s="106">
        <v>25.922277399999999</v>
      </c>
      <c r="M20" s="106">
        <v>73.04321032</v>
      </c>
      <c r="N20" s="106">
        <v>90.543431330000004</v>
      </c>
      <c r="O20" s="106">
        <v>82.623540680000005</v>
      </c>
      <c r="P20" s="106">
        <v>90.974934020000006</v>
      </c>
      <c r="Q20" s="106">
        <v>28.030935230000001</v>
      </c>
    </row>
    <row r="21" spans="1:17" ht="12.75" customHeight="1" x14ac:dyDescent="0.25">
      <c r="A21" s="105" t="s">
        <v>70</v>
      </c>
      <c r="B21" s="106">
        <v>68.988096920000004</v>
      </c>
      <c r="C21" s="106">
        <v>77.662781359999997</v>
      </c>
      <c r="D21" s="106">
        <v>51.084363830000001</v>
      </c>
      <c r="E21" s="106">
        <v>91.92376754</v>
      </c>
      <c r="F21" s="106">
        <v>89.488512229999998</v>
      </c>
      <c r="G21" s="106">
        <v>78.154481829999995</v>
      </c>
      <c r="H21" s="106">
        <v>56.570097779999998</v>
      </c>
      <c r="I21" s="106">
        <v>65.234162299999994</v>
      </c>
      <c r="J21" s="106">
        <v>70.725996749999993</v>
      </c>
      <c r="K21" s="106">
        <v>51.436815989999999</v>
      </c>
      <c r="L21" s="106">
        <v>38.883416099999998</v>
      </c>
      <c r="M21" s="106">
        <v>72.731411620000003</v>
      </c>
      <c r="N21" s="106">
        <v>65.965127620000004</v>
      </c>
      <c r="O21" s="106">
        <v>84.589560370000001</v>
      </c>
      <c r="P21" s="106">
        <v>93.715230210000001</v>
      </c>
      <c r="Q21" s="106">
        <v>46.655728269999997</v>
      </c>
    </row>
    <row r="22" spans="1:17" ht="12.75" customHeight="1" x14ac:dyDescent="0.25">
      <c r="A22" s="105" t="s">
        <v>71</v>
      </c>
      <c r="B22" s="106">
        <v>65.818652670000006</v>
      </c>
      <c r="C22" s="106">
        <v>77.043415999999993</v>
      </c>
      <c r="D22" s="106">
        <v>52.315972729999999</v>
      </c>
      <c r="E22" s="106">
        <v>98.969967409999995</v>
      </c>
      <c r="F22" s="106">
        <v>94.005257</v>
      </c>
      <c r="G22" s="106">
        <v>62.882466870000002</v>
      </c>
      <c r="H22" s="106">
        <v>53.033329299999998</v>
      </c>
      <c r="I22" s="106">
        <v>70.168128339999996</v>
      </c>
      <c r="J22" s="106">
        <v>61.975637200000001</v>
      </c>
      <c r="K22" s="106">
        <v>47.473076329999998</v>
      </c>
      <c r="L22" s="106">
        <v>32.51647534</v>
      </c>
      <c r="M22" s="106">
        <v>67.379212719999998</v>
      </c>
      <c r="N22" s="106">
        <v>57.005168490000003</v>
      </c>
      <c r="O22" s="106">
        <v>88.467422200000001</v>
      </c>
      <c r="P22" s="106">
        <v>88.76401946</v>
      </c>
      <c r="Q22" s="106">
        <v>35.280240720000002</v>
      </c>
    </row>
    <row r="23" spans="1:17" ht="12.75" customHeight="1" x14ac:dyDescent="0.25">
      <c r="A23" s="105" t="s">
        <v>72</v>
      </c>
      <c r="B23" s="106">
        <v>58.673060839999998</v>
      </c>
      <c r="C23" s="106">
        <v>65.418399210000004</v>
      </c>
      <c r="D23" s="106">
        <v>44.132376720000003</v>
      </c>
      <c r="E23" s="106">
        <v>87.803637159999994</v>
      </c>
      <c r="F23" s="106">
        <v>87.683672999999999</v>
      </c>
      <c r="G23" s="106">
        <v>42.053909949999998</v>
      </c>
      <c r="H23" s="106">
        <v>48.24121469</v>
      </c>
      <c r="I23" s="106">
        <v>66.171604639999998</v>
      </c>
      <c r="J23" s="106">
        <v>52.154979089999998</v>
      </c>
      <c r="K23" s="106">
        <v>46.719938040000002</v>
      </c>
      <c r="L23" s="106">
        <v>27.91833699</v>
      </c>
      <c r="M23" s="106">
        <v>62.359568629999998</v>
      </c>
      <c r="N23" s="106">
        <v>61.514440610000001</v>
      </c>
      <c r="O23" s="106">
        <v>83.478259980000004</v>
      </c>
      <c r="P23" s="106">
        <v>81.378848849999997</v>
      </c>
      <c r="Q23" s="106">
        <v>23.06672507</v>
      </c>
    </row>
    <row r="24" spans="1:17" ht="12.75" customHeight="1" x14ac:dyDescent="0.25">
      <c r="A24" s="105" t="s">
        <v>73</v>
      </c>
      <c r="B24" s="106">
        <v>64.008491710000001</v>
      </c>
      <c r="C24" s="106">
        <v>68.994673789999993</v>
      </c>
      <c r="D24" s="106">
        <v>63.49002385</v>
      </c>
      <c r="E24" s="106">
        <v>71.774182940000003</v>
      </c>
      <c r="F24" s="106">
        <v>75.521642920000005</v>
      </c>
      <c r="G24" s="106">
        <v>65.192845430000006</v>
      </c>
      <c r="H24" s="106">
        <v>57.2412961</v>
      </c>
      <c r="I24" s="106">
        <v>71.567895059999998</v>
      </c>
      <c r="J24" s="106">
        <v>61.975637200000001</v>
      </c>
      <c r="K24" s="106">
        <v>65.204245990000004</v>
      </c>
      <c r="L24" s="106">
        <v>30.21740617</v>
      </c>
      <c r="M24" s="106">
        <v>65.789505239999997</v>
      </c>
      <c r="N24" s="106">
        <v>52.360544519999998</v>
      </c>
      <c r="O24" s="106">
        <v>86.867278150000004</v>
      </c>
      <c r="P24" s="106">
        <v>90.317522269999998</v>
      </c>
      <c r="Q24" s="106">
        <v>33.612676030000003</v>
      </c>
    </row>
    <row r="25" spans="1:17" ht="12.75" customHeight="1" x14ac:dyDescent="0.25">
      <c r="A25" s="105" t="s">
        <v>75</v>
      </c>
      <c r="B25" s="106">
        <v>57.467767340000002</v>
      </c>
      <c r="C25" s="106">
        <v>71.78443412</v>
      </c>
      <c r="D25" s="106">
        <v>42.659394910000003</v>
      </c>
      <c r="E25" s="106">
        <v>87.803637159999994</v>
      </c>
      <c r="F25" s="106">
        <v>77.773798310000004</v>
      </c>
      <c r="G25" s="106">
        <v>78.900906079999999</v>
      </c>
      <c r="H25" s="106">
        <v>41.214028659999997</v>
      </c>
      <c r="I25" s="106">
        <v>56.759588800000003</v>
      </c>
      <c r="J25" s="106">
        <v>40.728873139999997</v>
      </c>
      <c r="K25" s="106">
        <v>43.66869209</v>
      </c>
      <c r="L25" s="106">
        <v>23.698960620000001</v>
      </c>
      <c r="M25" s="106">
        <v>59.404839240000001</v>
      </c>
      <c r="N25" s="106">
        <v>60.677297789999997</v>
      </c>
      <c r="O25" s="106">
        <v>72.640190000000004</v>
      </c>
      <c r="P25" s="106">
        <v>91.381322949999998</v>
      </c>
      <c r="Q25" s="106">
        <v>12.920546209999999</v>
      </c>
    </row>
    <row r="26" spans="1:17" ht="12.75" customHeight="1" x14ac:dyDescent="0.25">
      <c r="A26" s="105" t="s">
        <v>77</v>
      </c>
      <c r="B26" s="106">
        <v>62.448477750000002</v>
      </c>
      <c r="C26" s="106">
        <v>77.249719420000005</v>
      </c>
      <c r="D26" s="106">
        <v>56.371932559999998</v>
      </c>
      <c r="E26" s="106">
        <v>77.503311229999994</v>
      </c>
      <c r="F26" s="106">
        <v>81.32983754</v>
      </c>
      <c r="G26" s="106">
        <v>93.79379634</v>
      </c>
      <c r="H26" s="106">
        <v>46.198710939999998</v>
      </c>
      <c r="I26" s="106">
        <v>75.381232389999994</v>
      </c>
      <c r="J26" s="106">
        <v>49.479232690000003</v>
      </c>
      <c r="K26" s="106">
        <v>31.78878452</v>
      </c>
      <c r="L26" s="106">
        <v>28.14559418</v>
      </c>
      <c r="M26" s="106">
        <v>63.897002890000003</v>
      </c>
      <c r="N26" s="106">
        <v>54.704613209999998</v>
      </c>
      <c r="O26" s="106">
        <v>86.270892259999997</v>
      </c>
      <c r="P26" s="106">
        <v>95.82370942</v>
      </c>
      <c r="Q26" s="106">
        <v>18.788796680000001</v>
      </c>
    </row>
    <row r="27" spans="1:17" ht="12.75" customHeight="1" x14ac:dyDescent="0.25">
      <c r="A27" s="105" t="s">
        <v>80</v>
      </c>
      <c r="B27" s="106">
        <v>51.786205670000001</v>
      </c>
      <c r="C27" s="106">
        <v>63.267026919999999</v>
      </c>
      <c r="D27" s="106">
        <v>38.257772559999999</v>
      </c>
      <c r="E27" s="106">
        <v>67.0799746</v>
      </c>
      <c r="F27" s="106">
        <v>70.919007460000003</v>
      </c>
      <c r="G27" s="106">
        <v>76.811353049999994</v>
      </c>
      <c r="H27" s="106">
        <v>30.54989848</v>
      </c>
      <c r="I27" s="106">
        <v>64.936931299999998</v>
      </c>
      <c r="J27" s="106">
        <v>24.83360188</v>
      </c>
      <c r="K27" s="106">
        <v>21.691238800000001</v>
      </c>
      <c r="L27" s="106">
        <v>10.73782192</v>
      </c>
      <c r="M27" s="106">
        <v>61.541691620000002</v>
      </c>
      <c r="N27" s="106">
        <v>74.647658109999995</v>
      </c>
      <c r="O27" s="106">
        <v>74.26943009</v>
      </c>
      <c r="P27" s="106">
        <v>90.871407009999999</v>
      </c>
      <c r="Q27" s="106">
        <v>6.3782712860000004</v>
      </c>
    </row>
    <row r="28" spans="1:17" ht="12.75" customHeight="1" x14ac:dyDescent="0.25">
      <c r="A28" s="105" t="s">
        <v>81</v>
      </c>
      <c r="B28" s="106">
        <v>71.828829659999997</v>
      </c>
      <c r="C28" s="106">
        <v>84.575889020000005</v>
      </c>
      <c r="D28" s="106">
        <v>70.14937621</v>
      </c>
      <c r="E28" s="106">
        <v>90.150741330000002</v>
      </c>
      <c r="F28" s="106">
        <v>91.151488529999995</v>
      </c>
      <c r="G28" s="106">
        <v>86.851950020000004</v>
      </c>
      <c r="H28" s="106">
        <v>61.715552520000003</v>
      </c>
      <c r="I28" s="106">
        <v>83.587032820000005</v>
      </c>
      <c r="J28" s="106">
        <v>63.045935759999999</v>
      </c>
      <c r="K28" s="106">
        <v>76.227271279999997</v>
      </c>
      <c r="L28" s="106">
        <v>24.001970199999999</v>
      </c>
      <c r="M28" s="106">
        <v>69.195047430000002</v>
      </c>
      <c r="N28" s="106">
        <v>56.831390239999998</v>
      </c>
      <c r="O28" s="106">
        <v>84.704340419999994</v>
      </c>
      <c r="P28" s="106">
        <v>92.893912700000001</v>
      </c>
      <c r="Q28" s="106">
        <v>42.350546360000003</v>
      </c>
    </row>
    <row r="29" spans="1:17" ht="12.75" customHeight="1" x14ac:dyDescent="0.25">
      <c r="A29" s="105" t="s">
        <v>82</v>
      </c>
      <c r="B29" s="106">
        <v>63.025756139999999</v>
      </c>
      <c r="C29" s="106">
        <v>73.425121149999995</v>
      </c>
      <c r="D29" s="106">
        <v>58.440878480000002</v>
      </c>
      <c r="E29" s="106">
        <v>86.363554879999995</v>
      </c>
      <c r="F29" s="106">
        <v>82.403634749999995</v>
      </c>
      <c r="G29" s="106">
        <v>66.492416500000004</v>
      </c>
      <c r="H29" s="106">
        <v>49.015004599999997</v>
      </c>
      <c r="I29" s="106">
        <v>69.949774840000003</v>
      </c>
      <c r="J29" s="106">
        <v>43.404619539999999</v>
      </c>
      <c r="K29" s="106">
        <v>56.934851389999999</v>
      </c>
      <c r="L29" s="106">
        <v>25.770772610000002</v>
      </c>
      <c r="M29" s="106">
        <v>66.637142659999995</v>
      </c>
      <c r="N29" s="106">
        <v>76.754449690000001</v>
      </c>
      <c r="O29" s="106">
        <v>83.570764879999999</v>
      </c>
      <c r="P29" s="106">
        <v>91.309976789999993</v>
      </c>
      <c r="Q29" s="106">
        <v>14.91337927</v>
      </c>
    </row>
    <row r="30" spans="1:17" ht="12.75" customHeight="1" x14ac:dyDescent="0.25">
      <c r="A30" s="105" t="s">
        <v>85</v>
      </c>
      <c r="B30" s="106">
        <v>68.25459712</v>
      </c>
      <c r="C30" s="106">
        <v>76.500719480000001</v>
      </c>
      <c r="D30" s="106">
        <v>39.70743555</v>
      </c>
      <c r="E30" s="106">
        <v>91.877862609999994</v>
      </c>
      <c r="F30" s="106">
        <v>83.719952559999996</v>
      </c>
      <c r="G30" s="106">
        <v>90.697627220000001</v>
      </c>
      <c r="H30" s="106">
        <v>55.869029660000002</v>
      </c>
      <c r="I30" s="106">
        <v>90.047961079999993</v>
      </c>
      <c r="J30" s="106">
        <v>68.585399629999998</v>
      </c>
      <c r="K30" s="106">
        <v>47.662242849999998</v>
      </c>
      <c r="L30" s="106">
        <v>17.180515069999998</v>
      </c>
      <c r="M30" s="106">
        <v>72.394042229999997</v>
      </c>
      <c r="N30" s="106">
        <v>57.664470719999997</v>
      </c>
      <c r="O30" s="106">
        <v>98.040950140000007</v>
      </c>
      <c r="P30" s="106">
        <v>97.886215669999999</v>
      </c>
      <c r="Q30" s="106">
        <v>35.984532379999997</v>
      </c>
    </row>
    <row r="31" spans="1:17" ht="12.75" customHeight="1" x14ac:dyDescent="0.25">
      <c r="A31" s="105" t="s">
        <v>87</v>
      </c>
      <c r="B31" s="106">
        <v>69.926670020000003</v>
      </c>
      <c r="C31" s="106">
        <v>65.358941430000002</v>
      </c>
      <c r="D31" s="106">
        <v>61.507210180000001</v>
      </c>
      <c r="E31" s="106">
        <v>44.091242999999999</v>
      </c>
      <c r="F31" s="106">
        <v>86.4408119</v>
      </c>
      <c r="G31" s="106">
        <v>69.396500639999999</v>
      </c>
      <c r="H31" s="106">
        <v>70.716954700000002</v>
      </c>
      <c r="I31" s="106">
        <v>79.194186990000006</v>
      </c>
      <c r="J31" s="106">
        <v>78.218086659999997</v>
      </c>
      <c r="K31" s="106">
        <v>77.754614340000003</v>
      </c>
      <c r="L31" s="106">
        <v>47.700930820000004</v>
      </c>
      <c r="M31" s="106">
        <v>73.704113919999998</v>
      </c>
      <c r="N31" s="106">
        <v>44.307100869999999</v>
      </c>
      <c r="O31" s="106">
        <v>94.122054649999995</v>
      </c>
      <c r="P31" s="106">
        <v>88.756423400000003</v>
      </c>
      <c r="Q31" s="106">
        <v>67.630876740000005</v>
      </c>
    </row>
    <row r="32" spans="1:17" ht="12.75" customHeight="1" x14ac:dyDescent="0.25">
      <c r="A32" s="105" t="s">
        <v>88</v>
      </c>
      <c r="B32" s="106">
        <v>52.18189271</v>
      </c>
      <c r="C32" s="106">
        <v>62.69694346</v>
      </c>
      <c r="D32" s="106">
        <v>44.088900840000001</v>
      </c>
      <c r="E32" s="106">
        <v>86.773604570000003</v>
      </c>
      <c r="F32" s="106">
        <v>69.187624940000006</v>
      </c>
      <c r="G32" s="106">
        <v>50.737643499999997</v>
      </c>
      <c r="H32" s="106">
        <v>34.309357910000003</v>
      </c>
      <c r="I32" s="106">
        <v>48.077012150000002</v>
      </c>
      <c r="J32" s="106">
        <v>28.579646839999999</v>
      </c>
      <c r="K32" s="106">
        <v>60.580772660000001</v>
      </c>
      <c r="L32" s="106">
        <v>0</v>
      </c>
      <c r="M32" s="106">
        <v>59.539376750000002</v>
      </c>
      <c r="N32" s="106">
        <v>68.253246489999995</v>
      </c>
      <c r="O32" s="106">
        <v>74.323006599999999</v>
      </c>
      <c r="P32" s="106">
        <v>84.510285929999995</v>
      </c>
      <c r="Q32" s="106">
        <v>11.070967980000001</v>
      </c>
    </row>
    <row r="33" spans="1:22" ht="12.75" customHeight="1" x14ac:dyDescent="0.25">
      <c r="A33" s="105" t="s">
        <v>89</v>
      </c>
      <c r="B33" s="106">
        <v>47.36647249</v>
      </c>
      <c r="C33" s="106">
        <v>50.024917199999997</v>
      </c>
      <c r="D33" s="106">
        <v>54.032056840000003</v>
      </c>
      <c r="E33" s="106">
        <v>5.200955252</v>
      </c>
      <c r="F33" s="106">
        <v>62.506948469999998</v>
      </c>
      <c r="G33" s="106">
        <v>78.359708240000003</v>
      </c>
      <c r="H33" s="106">
        <v>34.883297890000001</v>
      </c>
      <c r="I33" s="106">
        <v>67.677213649999999</v>
      </c>
      <c r="J33" s="106">
        <v>30.908215030000001</v>
      </c>
      <c r="K33" s="106">
        <v>17.32455465</v>
      </c>
      <c r="L33" s="106">
        <v>23.623208229999999</v>
      </c>
      <c r="M33" s="106">
        <v>57.191202369999999</v>
      </c>
      <c r="N33" s="106">
        <v>60.52634638</v>
      </c>
      <c r="O33" s="106">
        <v>74.002121759999994</v>
      </c>
      <c r="P33" s="106">
        <v>88.293587149999993</v>
      </c>
      <c r="Q33" s="106">
        <v>5.9427541850000001</v>
      </c>
    </row>
    <row r="34" spans="1:22" ht="12.75" customHeight="1" x14ac:dyDescent="0.25">
      <c r="A34" s="105" t="s">
        <v>90</v>
      </c>
      <c r="B34" s="106">
        <v>57.240175809999997</v>
      </c>
      <c r="C34" s="106">
        <v>63.666358019999997</v>
      </c>
      <c r="D34" s="106">
        <v>37.395195510000001</v>
      </c>
      <c r="E34" s="106">
        <v>78.820382809999998</v>
      </c>
      <c r="F34" s="106">
        <v>38.449853760000003</v>
      </c>
      <c r="G34" s="106">
        <v>100</v>
      </c>
      <c r="H34" s="106">
        <v>43.065183249999997</v>
      </c>
      <c r="I34" s="106">
        <v>50.736742309999997</v>
      </c>
      <c r="J34" s="106">
        <v>24.110481530000001</v>
      </c>
      <c r="K34" s="106">
        <v>71.642736549999995</v>
      </c>
      <c r="L34" s="106">
        <v>25.770772610000002</v>
      </c>
      <c r="M34" s="106">
        <v>64.988986170000004</v>
      </c>
      <c r="N34" s="106">
        <v>81.738780969999993</v>
      </c>
      <c r="O34" s="106">
        <v>82.931531160000006</v>
      </c>
      <c r="P34" s="106">
        <v>93.021286020000005</v>
      </c>
      <c r="Q34" s="106">
        <v>2.2643465279999999</v>
      </c>
    </row>
    <row r="35" spans="1:22" ht="12.75" customHeight="1" x14ac:dyDescent="0.25">
      <c r="A35" s="105" t="s">
        <v>91</v>
      </c>
      <c r="B35" s="106">
        <v>51.2833586</v>
      </c>
      <c r="C35" s="106">
        <v>55.77726389</v>
      </c>
      <c r="D35" s="106">
        <v>14.12875872</v>
      </c>
      <c r="E35" s="106">
        <v>90.150741330000002</v>
      </c>
      <c r="F35" s="106">
        <v>26.270339209999999</v>
      </c>
      <c r="G35" s="106">
        <v>92.559216300000003</v>
      </c>
      <c r="H35" s="106">
        <v>32.41940177</v>
      </c>
      <c r="I35" s="106">
        <v>38.781121210000002</v>
      </c>
      <c r="J35" s="106">
        <v>0</v>
      </c>
      <c r="K35" s="106">
        <v>67.273277669999999</v>
      </c>
      <c r="L35" s="106">
        <v>23.623208229999999</v>
      </c>
      <c r="M35" s="106">
        <v>65.653410129999997</v>
      </c>
      <c r="N35" s="106">
        <v>92.842789640000007</v>
      </c>
      <c r="O35" s="106">
        <v>77.522187200000005</v>
      </c>
      <c r="P35" s="106">
        <v>91.377629499999998</v>
      </c>
      <c r="Q35" s="106">
        <v>0.87103420200000004</v>
      </c>
    </row>
    <row r="36" spans="1:22" ht="12.75" customHeight="1" x14ac:dyDescent="0.25">
      <c r="A36" s="105" t="s">
        <v>93</v>
      </c>
      <c r="B36" s="106">
        <v>53.34282383</v>
      </c>
      <c r="C36" s="106">
        <v>60.072963510000001</v>
      </c>
      <c r="D36" s="106">
        <v>6.6984648279999996</v>
      </c>
      <c r="E36" s="106">
        <v>95.136876020000003</v>
      </c>
      <c r="F36" s="106">
        <v>38.456513200000003</v>
      </c>
      <c r="G36" s="106">
        <v>100</v>
      </c>
      <c r="H36" s="106">
        <v>43.465879800000003</v>
      </c>
      <c r="I36" s="106">
        <v>63.77290438</v>
      </c>
      <c r="J36" s="106">
        <v>18.758988729999999</v>
      </c>
      <c r="K36" s="106">
        <v>65.56085349</v>
      </c>
      <c r="L36" s="106">
        <v>25.770772610000002</v>
      </c>
      <c r="M36" s="106">
        <v>56.489628189999998</v>
      </c>
      <c r="N36" s="106">
        <v>66.275113919999995</v>
      </c>
      <c r="O36" s="106">
        <v>66.507959220000004</v>
      </c>
      <c r="P36" s="106">
        <v>92.468409050000005</v>
      </c>
      <c r="Q36" s="106">
        <v>0.70703056399999997</v>
      </c>
    </row>
    <row r="37" spans="1:22" ht="12.75" customHeight="1" x14ac:dyDescent="0.25">
      <c r="A37" s="105" t="s">
        <v>96</v>
      </c>
      <c r="B37" s="106">
        <v>58.619839829999997</v>
      </c>
      <c r="C37" s="106">
        <v>73.39236434</v>
      </c>
      <c r="D37" s="106">
        <v>28.157295340000001</v>
      </c>
      <c r="E37" s="106">
        <v>90.104836410000004</v>
      </c>
      <c r="F37" s="106">
        <v>77.813433270000004</v>
      </c>
      <c r="G37" s="106">
        <v>97.493892349999996</v>
      </c>
      <c r="H37" s="106">
        <v>42.55045853</v>
      </c>
      <c r="I37" s="106">
        <v>52.028203869999999</v>
      </c>
      <c r="J37" s="106">
        <v>19.294138010000001</v>
      </c>
      <c r="K37" s="106">
        <v>88.141670309999995</v>
      </c>
      <c r="L37" s="106">
        <v>10.73782192</v>
      </c>
      <c r="M37" s="106">
        <v>59.916696629999997</v>
      </c>
      <c r="N37" s="106">
        <v>66.792547450000001</v>
      </c>
      <c r="O37" s="106">
        <v>76.872577919999998</v>
      </c>
      <c r="P37" s="106">
        <v>94.423596369999999</v>
      </c>
      <c r="Q37" s="106">
        <v>1.578064766</v>
      </c>
    </row>
    <row r="38" spans="1:22" ht="12.75" customHeight="1" x14ac:dyDescent="0.25">
      <c r="A38" s="105" t="s">
        <v>97</v>
      </c>
      <c r="B38" s="106">
        <v>60.864725620000002</v>
      </c>
      <c r="C38" s="106">
        <v>72.309592080000002</v>
      </c>
      <c r="D38" s="106">
        <v>43.193382059999998</v>
      </c>
      <c r="E38" s="106">
        <v>86.773604570000003</v>
      </c>
      <c r="F38" s="106">
        <v>76.457480500000003</v>
      </c>
      <c r="G38" s="106">
        <v>82.813901209999997</v>
      </c>
      <c r="H38" s="106">
        <v>46.637366350000001</v>
      </c>
      <c r="I38" s="106">
        <v>60.075294769999999</v>
      </c>
      <c r="J38" s="106">
        <v>43.404619539999999</v>
      </c>
      <c r="K38" s="106">
        <v>53.003649719999999</v>
      </c>
      <c r="L38" s="106">
        <v>30.06590138</v>
      </c>
      <c r="M38" s="106">
        <v>63.647218410000001</v>
      </c>
      <c r="N38" s="106">
        <v>68.271268449999994</v>
      </c>
      <c r="O38" s="106">
        <v>78.32929987</v>
      </c>
      <c r="P38" s="106">
        <v>95.774789690000006</v>
      </c>
      <c r="Q38" s="106">
        <v>12.21351565</v>
      </c>
    </row>
    <row r="39" spans="1:22" ht="12.75" customHeight="1" x14ac:dyDescent="0.25">
      <c r="A39" s="105" t="s">
        <v>99</v>
      </c>
      <c r="B39" s="106">
        <v>60.476986699999998</v>
      </c>
      <c r="C39" s="106">
        <v>71.562494909999998</v>
      </c>
      <c r="D39" s="106">
        <v>49.822317949999999</v>
      </c>
      <c r="E39" s="106">
        <v>84.71353938</v>
      </c>
      <c r="F39" s="106">
        <v>86.266697500000006</v>
      </c>
      <c r="G39" s="106">
        <v>65.447424789999999</v>
      </c>
      <c r="H39" s="106">
        <v>48.097511900000001</v>
      </c>
      <c r="I39" s="106">
        <v>73.30236798</v>
      </c>
      <c r="J39" s="106">
        <v>45.545216660000001</v>
      </c>
      <c r="K39" s="106">
        <v>51.99106673</v>
      </c>
      <c r="L39" s="106">
        <v>21.551396239999999</v>
      </c>
      <c r="M39" s="106">
        <v>61.770953280000001</v>
      </c>
      <c r="N39" s="106">
        <v>53.206800889999997</v>
      </c>
      <c r="O39" s="106">
        <v>85.375001580000003</v>
      </c>
      <c r="P39" s="106">
        <v>88.352907770000002</v>
      </c>
      <c r="Q39" s="106">
        <v>20.149102890000002</v>
      </c>
    </row>
    <row r="40" spans="1:22" ht="12.75" customHeight="1" x14ac:dyDescent="0.25">
      <c r="A40" s="105" t="s">
        <v>101</v>
      </c>
      <c r="B40" s="106">
        <v>48.342016469999997</v>
      </c>
      <c r="C40" s="106">
        <v>70.542179239999996</v>
      </c>
      <c r="D40" s="106">
        <v>44.467141359999999</v>
      </c>
      <c r="E40" s="106">
        <v>96.166908609999993</v>
      </c>
      <c r="F40" s="106">
        <v>72.989664970000007</v>
      </c>
      <c r="G40" s="106">
        <v>68.545002010000005</v>
      </c>
      <c r="H40" s="106">
        <v>29.714933250000001</v>
      </c>
      <c r="I40" s="106">
        <v>33.609629480000002</v>
      </c>
      <c r="J40" s="106">
        <v>28.579646839999999</v>
      </c>
      <c r="K40" s="106">
        <v>33.04724847</v>
      </c>
      <c r="L40" s="106">
        <v>23.623208229999999</v>
      </c>
      <c r="M40" s="106">
        <v>44.768936920000002</v>
      </c>
      <c r="N40" s="106">
        <v>41.613706659999998</v>
      </c>
      <c r="O40" s="106">
        <v>54.85880186</v>
      </c>
      <c r="P40" s="106">
        <v>78.978586410000005</v>
      </c>
      <c r="Q40" s="106">
        <v>3.624652744</v>
      </c>
    </row>
    <row r="41" spans="1:22" ht="6" customHeight="1" x14ac:dyDescent="0.25">
      <c r="A41" s="129"/>
      <c r="B41" s="129"/>
      <c r="C41" s="129"/>
      <c r="D41" s="129"/>
      <c r="E41" s="129"/>
      <c r="F41" s="129"/>
      <c r="G41" s="129"/>
      <c r="H41" s="129"/>
      <c r="I41" s="129"/>
      <c r="J41" s="129"/>
      <c r="K41" s="129"/>
      <c r="L41" s="129"/>
      <c r="M41" s="129"/>
      <c r="N41" s="129"/>
      <c r="O41" s="129"/>
      <c r="P41" s="129"/>
      <c r="Q41" s="129"/>
      <c r="R41" s="108"/>
      <c r="S41" s="108"/>
      <c r="T41" s="108"/>
      <c r="U41" s="108"/>
      <c r="V41" s="108"/>
    </row>
    <row r="42" spans="1:22" ht="6" customHeight="1" x14ac:dyDescent="0.25">
      <c r="A42" s="108"/>
      <c r="B42" s="108"/>
      <c r="C42" s="108"/>
      <c r="D42" s="108"/>
      <c r="E42" s="108"/>
      <c r="F42" s="108"/>
      <c r="G42" s="108"/>
      <c r="H42" s="108"/>
      <c r="I42" s="108"/>
      <c r="J42" s="108"/>
      <c r="K42" s="108"/>
      <c r="L42" s="108"/>
      <c r="M42" s="108"/>
      <c r="N42" s="108"/>
      <c r="O42" s="108"/>
      <c r="P42" s="108"/>
      <c r="Q42" s="108"/>
      <c r="R42" s="108"/>
      <c r="S42" s="108"/>
      <c r="T42" s="108"/>
      <c r="U42" s="108"/>
      <c r="V42" s="108"/>
    </row>
    <row r="43" spans="1:22" ht="12.75" customHeight="1" x14ac:dyDescent="0.25">
      <c r="A43" s="130" t="s">
        <v>111</v>
      </c>
      <c r="B43" s="109"/>
      <c r="C43" s="109"/>
      <c r="D43" s="110"/>
      <c r="E43" s="108"/>
      <c r="F43" s="108"/>
      <c r="G43" s="108"/>
      <c r="H43" s="108"/>
      <c r="I43" s="108"/>
      <c r="J43" s="108"/>
      <c r="K43" s="108"/>
      <c r="L43" s="108"/>
      <c r="M43" s="108"/>
      <c r="N43" s="108"/>
      <c r="O43" s="108"/>
      <c r="P43" s="108"/>
      <c r="Q43" s="108"/>
      <c r="R43" s="108"/>
      <c r="S43" s="108"/>
      <c r="T43" s="108"/>
      <c r="U43" s="108"/>
      <c r="V43" s="108"/>
    </row>
    <row r="44" spans="1:22" ht="12.75" customHeight="1" x14ac:dyDescent="0.25">
      <c r="A44" s="131" t="s">
        <v>204</v>
      </c>
      <c r="B44" s="131"/>
      <c r="C44" s="131"/>
      <c r="D44" s="131"/>
      <c r="E44" s="108"/>
      <c r="F44" s="108"/>
      <c r="G44" s="108"/>
      <c r="H44" s="108"/>
      <c r="I44" s="108"/>
      <c r="J44" s="108"/>
      <c r="K44" s="108"/>
      <c r="L44" s="108"/>
      <c r="M44" s="108"/>
      <c r="N44" s="108"/>
      <c r="O44" s="108"/>
      <c r="P44" s="108"/>
      <c r="Q44" s="108"/>
      <c r="R44" s="108"/>
      <c r="S44" s="108"/>
      <c r="T44" s="108"/>
      <c r="U44" s="108"/>
      <c r="V44" s="108"/>
    </row>
    <row r="45" spans="1:22" ht="12.75" customHeight="1" x14ac:dyDescent="0.25"/>
    <row r="46" spans="1:22" ht="12.75" customHeight="1" x14ac:dyDescent="0.25"/>
    <row r="47" spans="1:22" ht="12.75" customHeight="1" x14ac:dyDescent="0.25"/>
    <row r="48" spans="1:22" ht="12.75" customHeight="1" x14ac:dyDescent="0.25"/>
    <row r="49" s="85" customFormat="1" ht="12.75" customHeight="1" x14ac:dyDescent="0.25"/>
    <row r="50" s="85" customFormat="1" ht="12.75" customHeight="1" x14ac:dyDescent="0.25"/>
    <row r="51" s="85" customFormat="1" ht="12.75" customHeight="1" x14ac:dyDescent="0.25"/>
    <row r="52" s="85" customFormat="1" ht="12.75" customHeight="1" x14ac:dyDescent="0.25"/>
    <row r="53" s="85" customFormat="1" ht="12.75" customHeight="1" x14ac:dyDescent="0.25"/>
    <row r="54" s="85" customFormat="1" ht="12.75" customHeight="1" x14ac:dyDescent="0.25"/>
    <row r="55" s="85" customFormat="1" ht="12.75" customHeight="1" x14ac:dyDescent="0.25"/>
    <row r="56" s="85" customFormat="1" ht="12.75" customHeight="1" x14ac:dyDescent="0.25"/>
    <row r="57" s="85" customFormat="1" ht="12.75" customHeight="1" x14ac:dyDescent="0.25"/>
    <row r="58" s="85" customFormat="1" ht="12.75" customHeight="1" x14ac:dyDescent="0.25"/>
    <row r="59" s="85" customFormat="1" ht="12.75" customHeight="1" x14ac:dyDescent="0.25"/>
    <row r="60" s="85" customFormat="1" ht="12.75" customHeight="1" x14ac:dyDescent="0.25"/>
    <row r="61" s="85" customFormat="1" ht="12.75" customHeight="1" x14ac:dyDescent="0.25"/>
    <row r="62" s="85" customFormat="1" ht="12.75" customHeight="1" x14ac:dyDescent="0.25"/>
    <row r="63" s="85" customFormat="1" ht="12.75" customHeight="1" x14ac:dyDescent="0.25"/>
    <row r="64" s="85" customFormat="1" ht="12.75" customHeight="1" x14ac:dyDescent="0.25"/>
    <row r="65" s="85" customFormat="1" ht="12.75" customHeight="1" x14ac:dyDescent="0.25"/>
    <row r="66" s="85" customFormat="1" ht="12.75" customHeight="1" x14ac:dyDescent="0.25"/>
    <row r="67" s="85" customFormat="1" ht="12.75" customHeight="1" x14ac:dyDescent="0.25"/>
    <row r="68" s="85" customFormat="1" ht="12.75" customHeight="1" x14ac:dyDescent="0.25"/>
    <row r="69" s="85" customFormat="1" ht="12.75" customHeight="1" x14ac:dyDescent="0.25"/>
    <row r="70" s="85" customFormat="1" ht="12.75" customHeight="1" x14ac:dyDescent="0.25"/>
    <row r="71" s="85" customFormat="1" ht="12.75" customHeight="1" x14ac:dyDescent="0.25"/>
    <row r="72" s="85" customFormat="1" ht="12.75" customHeight="1" x14ac:dyDescent="0.25"/>
    <row r="73" s="85" customFormat="1" ht="12.75" customHeight="1" x14ac:dyDescent="0.25"/>
    <row r="74" s="85" customFormat="1" ht="12.75" customHeight="1" x14ac:dyDescent="0.25"/>
    <row r="75" s="85" customFormat="1" ht="12.75" customHeight="1" x14ac:dyDescent="0.25"/>
    <row r="76" s="85" customFormat="1" ht="12.75" customHeight="1" x14ac:dyDescent="0.25"/>
    <row r="77" s="85" customFormat="1" ht="12.75" customHeight="1" x14ac:dyDescent="0.25"/>
    <row r="78" s="85" customFormat="1" ht="12.75" customHeight="1" x14ac:dyDescent="0.25"/>
    <row r="79" s="85" customFormat="1" ht="12.75" customHeight="1" x14ac:dyDescent="0.25"/>
    <row r="80" s="85" customFormat="1" ht="12.75" customHeight="1" x14ac:dyDescent="0.25"/>
    <row r="81" s="85" customFormat="1" ht="12.75" customHeight="1" x14ac:dyDescent="0.25"/>
    <row r="82" s="85" customFormat="1" ht="12.75" customHeight="1" x14ac:dyDescent="0.25"/>
    <row r="83" s="85" customFormat="1" ht="12.75" customHeight="1" x14ac:dyDescent="0.25"/>
    <row r="84" s="85" customFormat="1" ht="12.75" customHeight="1" x14ac:dyDescent="0.25"/>
    <row r="85" s="85" customFormat="1" ht="12.75" customHeight="1" x14ac:dyDescent="0.25"/>
    <row r="86" s="85" customFormat="1" ht="12.75" customHeight="1" x14ac:dyDescent="0.25"/>
    <row r="87" s="85" customFormat="1" ht="12.75" customHeight="1" x14ac:dyDescent="0.25"/>
    <row r="88" s="85" customFormat="1" ht="12.75" customHeight="1" x14ac:dyDescent="0.25"/>
    <row r="89" s="85" customFormat="1" ht="12.75" customHeight="1" x14ac:dyDescent="0.25"/>
    <row r="90" s="85" customFormat="1" ht="12.75" customHeight="1" x14ac:dyDescent="0.25"/>
    <row r="91" s="85" customFormat="1" ht="12.75" customHeight="1" x14ac:dyDescent="0.25"/>
    <row r="92" s="85" customFormat="1" ht="12.75" customHeight="1" x14ac:dyDescent="0.25"/>
    <row r="93" s="85" customFormat="1" ht="12.75" customHeight="1" x14ac:dyDescent="0.25"/>
    <row r="94" s="85" customFormat="1" ht="12.75" customHeight="1" x14ac:dyDescent="0.25"/>
    <row r="95" s="85" customFormat="1" ht="12.75" customHeight="1" x14ac:dyDescent="0.25"/>
    <row r="96" s="85" customFormat="1" ht="12.75" customHeight="1" x14ac:dyDescent="0.25"/>
    <row r="97" s="85" customFormat="1" ht="12.75" customHeight="1" x14ac:dyDescent="0.25"/>
    <row r="98" s="85" customFormat="1" ht="12.75" customHeight="1" x14ac:dyDescent="0.25"/>
    <row r="99" s="85" customFormat="1" ht="12.75" customHeight="1" x14ac:dyDescent="0.25"/>
    <row r="100" s="85" customFormat="1" ht="12.75" customHeight="1" x14ac:dyDescent="0.25"/>
    <row r="101" s="85" customFormat="1" ht="12.75" customHeight="1" x14ac:dyDescent="0.25"/>
    <row r="102" s="85" customFormat="1" ht="12.75" customHeight="1" x14ac:dyDescent="0.25"/>
    <row r="103" s="85" customFormat="1" ht="12.75" customHeight="1" x14ac:dyDescent="0.25"/>
    <row r="104" s="85" customFormat="1" ht="12.75" customHeight="1" x14ac:dyDescent="0.25"/>
    <row r="105" s="85" customFormat="1" ht="12.75" customHeight="1" x14ac:dyDescent="0.25"/>
    <row r="106" s="85" customFormat="1" ht="12.75" customHeight="1" x14ac:dyDescent="0.25"/>
    <row r="107" s="85" customFormat="1" ht="12.75" customHeight="1" x14ac:dyDescent="0.25"/>
    <row r="108" s="85" customFormat="1" ht="12.75" customHeight="1" x14ac:dyDescent="0.25"/>
    <row r="109" s="85" customFormat="1" ht="12.75" customHeight="1" x14ac:dyDescent="0.25"/>
    <row r="110" s="85" customFormat="1" ht="12.75" customHeight="1" x14ac:dyDescent="0.25"/>
    <row r="111" s="85" customFormat="1" ht="12.75" customHeight="1" x14ac:dyDescent="0.25"/>
    <row r="112" s="85" customFormat="1" ht="12.75" customHeight="1" x14ac:dyDescent="0.25"/>
    <row r="113" s="85" customFormat="1" ht="12.75" customHeight="1" x14ac:dyDescent="0.25"/>
    <row r="114" s="85" customFormat="1" ht="12.75" customHeight="1" x14ac:dyDescent="0.25"/>
    <row r="115" s="85" customFormat="1" ht="12.75" customHeight="1" x14ac:dyDescent="0.25"/>
    <row r="116" s="85" customFormat="1" ht="12.75" customHeight="1" x14ac:dyDescent="0.25"/>
    <row r="117" s="85" customFormat="1" ht="12.75" customHeight="1" x14ac:dyDescent="0.25"/>
    <row r="118" s="85" customFormat="1" ht="12.75" customHeight="1" x14ac:dyDescent="0.25"/>
    <row r="119" s="85" customFormat="1" ht="12.75" customHeight="1" x14ac:dyDescent="0.25"/>
    <row r="120" s="85" customFormat="1" ht="12.75" customHeight="1" x14ac:dyDescent="0.25"/>
    <row r="121" s="85" customFormat="1" ht="12.75" customHeight="1" x14ac:dyDescent="0.25"/>
    <row r="122" s="85" customFormat="1" ht="12.75" customHeight="1" x14ac:dyDescent="0.25"/>
    <row r="123" s="85" customFormat="1" ht="12.75" customHeight="1" x14ac:dyDescent="0.25"/>
    <row r="124" s="85" customFormat="1" ht="12.75" customHeight="1" x14ac:dyDescent="0.25"/>
    <row r="125" s="85" customFormat="1" ht="12.75" customHeight="1" x14ac:dyDescent="0.25"/>
    <row r="126" s="85" customFormat="1" ht="12.75" customHeight="1" x14ac:dyDescent="0.25"/>
    <row r="127" s="85" customFormat="1" ht="12.75" customHeight="1" x14ac:dyDescent="0.25"/>
    <row r="128" s="85" customFormat="1" ht="12.75" customHeight="1" x14ac:dyDescent="0.25"/>
    <row r="129" s="85" customFormat="1" ht="12.75" customHeight="1" x14ac:dyDescent="0.25"/>
    <row r="130" s="85" customFormat="1" ht="12.75" customHeight="1" x14ac:dyDescent="0.25"/>
    <row r="131" s="85" customFormat="1" ht="12.75" customHeight="1" x14ac:dyDescent="0.25"/>
    <row r="132" s="85" customFormat="1" ht="12.75" customHeight="1" x14ac:dyDescent="0.25"/>
    <row r="133" s="85" customFormat="1" ht="12.75" customHeight="1" x14ac:dyDescent="0.25"/>
    <row r="134" s="85" customFormat="1" ht="12.75" customHeight="1" x14ac:dyDescent="0.25"/>
    <row r="135" s="85" customFormat="1" ht="12.75" customHeight="1" x14ac:dyDescent="0.25"/>
    <row r="136" s="85" customFormat="1" ht="12.75" customHeight="1" x14ac:dyDescent="0.25"/>
    <row r="137" s="85" customFormat="1" ht="12.75" customHeight="1" x14ac:dyDescent="0.25"/>
    <row r="138" s="85" customFormat="1" ht="12.75" customHeight="1" x14ac:dyDescent="0.25"/>
    <row r="139" s="85" customFormat="1" ht="12.75" customHeight="1" x14ac:dyDescent="0.25"/>
    <row r="140" s="85" customFormat="1" ht="12.75" customHeight="1" x14ac:dyDescent="0.25"/>
    <row r="141" s="85" customFormat="1" ht="12.75" customHeight="1" x14ac:dyDescent="0.25"/>
    <row r="142" s="85" customFormat="1" ht="12.75" customHeight="1" x14ac:dyDescent="0.25"/>
    <row r="143" s="85" customFormat="1" ht="12.75" customHeight="1" x14ac:dyDescent="0.25"/>
    <row r="144" s="85" customFormat="1" ht="12.75" customHeight="1" x14ac:dyDescent="0.25"/>
    <row r="145" s="85" customFormat="1" ht="12.75" customHeight="1" x14ac:dyDescent="0.25"/>
    <row r="146" s="85" customFormat="1" ht="12.75" customHeight="1" x14ac:dyDescent="0.25"/>
    <row r="147" s="85" customFormat="1" ht="12.75" customHeight="1" x14ac:dyDescent="0.25"/>
    <row r="148" s="85" customFormat="1" ht="12.75" customHeight="1" x14ac:dyDescent="0.25"/>
    <row r="149" s="85" customFormat="1" ht="12.75" customHeight="1" x14ac:dyDescent="0.25"/>
    <row r="150" s="85" customFormat="1" ht="12.75" customHeight="1" x14ac:dyDescent="0.25"/>
    <row r="151" s="85" customFormat="1" ht="12.75" customHeight="1" x14ac:dyDescent="0.25"/>
    <row r="152" s="85" customFormat="1" ht="12.75" customHeight="1" x14ac:dyDescent="0.25"/>
    <row r="153" s="85" customFormat="1" ht="12.75" customHeight="1" x14ac:dyDescent="0.25"/>
    <row r="154" s="85" customFormat="1" ht="12.75" customHeight="1" x14ac:dyDescent="0.25"/>
    <row r="155" s="85" customFormat="1" ht="12.75" customHeight="1" x14ac:dyDescent="0.25"/>
    <row r="156" s="85" customFormat="1" ht="12.75" customHeight="1" x14ac:dyDescent="0.25"/>
    <row r="157" s="85" customFormat="1" ht="12.75" customHeight="1" x14ac:dyDescent="0.25"/>
    <row r="158" s="85" customFormat="1" ht="12.75" customHeight="1" x14ac:dyDescent="0.25"/>
    <row r="159" s="85" customFormat="1" ht="12.75" customHeight="1" x14ac:dyDescent="0.25"/>
    <row r="160" s="85" customFormat="1" ht="12.75" customHeight="1" x14ac:dyDescent="0.25"/>
    <row r="161" s="85" customFormat="1" ht="12.75" customHeight="1" x14ac:dyDescent="0.25"/>
    <row r="162" s="85" customFormat="1" ht="12.75" customHeight="1" x14ac:dyDescent="0.25"/>
    <row r="163" s="85" customFormat="1" ht="12.75" customHeight="1" x14ac:dyDescent="0.25"/>
    <row r="164" s="85" customFormat="1" ht="12.75" customHeight="1" x14ac:dyDescent="0.25"/>
    <row r="165" s="85" customFormat="1" ht="12.75" customHeight="1" x14ac:dyDescent="0.25"/>
    <row r="166" s="85" customFormat="1" ht="12.75" customHeight="1" x14ac:dyDescent="0.25"/>
    <row r="167" s="85" customFormat="1" ht="12.75" customHeight="1" x14ac:dyDescent="0.25"/>
    <row r="168" s="85" customFormat="1" ht="12.75" customHeight="1" x14ac:dyDescent="0.25"/>
    <row r="169" s="85" customFormat="1" ht="12.75" customHeight="1" x14ac:dyDescent="0.25"/>
    <row r="170" s="85" customFormat="1" ht="12.75" customHeight="1" x14ac:dyDescent="0.25"/>
    <row r="171" s="85" customFormat="1" ht="12.75" customHeight="1" x14ac:dyDescent="0.25"/>
    <row r="172" s="85" customFormat="1" ht="12.75" customHeight="1" x14ac:dyDescent="0.25"/>
    <row r="173" s="85" customFormat="1" ht="12.75" customHeight="1" x14ac:dyDescent="0.25"/>
    <row r="174" s="85" customFormat="1" ht="12.75" customHeight="1" x14ac:dyDescent="0.25"/>
    <row r="175" s="85" customFormat="1" ht="12.75" customHeight="1" x14ac:dyDescent="0.25"/>
    <row r="176" s="85" customFormat="1" ht="12.75" customHeight="1" x14ac:dyDescent="0.25"/>
    <row r="177" s="85" customFormat="1" ht="12.75" customHeight="1" x14ac:dyDescent="0.25"/>
    <row r="178" s="85" customFormat="1" ht="12.75" customHeight="1" x14ac:dyDescent="0.25"/>
    <row r="179" s="85" customFormat="1" ht="12.75" customHeight="1" x14ac:dyDescent="0.25"/>
    <row r="180" s="85" customFormat="1" ht="12.75" customHeight="1" x14ac:dyDescent="0.25"/>
    <row r="181" s="85" customFormat="1" ht="12.75" customHeight="1" x14ac:dyDescent="0.25"/>
    <row r="182" s="85" customFormat="1" ht="12.75" customHeight="1" x14ac:dyDescent="0.25"/>
    <row r="183" s="85" customFormat="1" ht="12.75" customHeight="1" x14ac:dyDescent="0.25"/>
    <row r="184" s="85" customFormat="1" ht="12.75" customHeight="1" x14ac:dyDescent="0.25"/>
    <row r="185" s="85" customFormat="1" ht="12.75" customHeight="1" x14ac:dyDescent="0.25"/>
    <row r="186" s="85" customFormat="1" ht="12.75" customHeight="1" x14ac:dyDescent="0.25"/>
    <row r="187" s="85" customFormat="1" ht="12.75" customHeight="1" x14ac:dyDescent="0.25"/>
    <row r="188" s="85" customFormat="1" ht="12.75" customHeight="1" x14ac:dyDescent="0.25"/>
    <row r="189" s="85" customFormat="1" ht="12.75" customHeight="1" x14ac:dyDescent="0.25"/>
    <row r="190" s="85" customFormat="1" ht="12.75" customHeight="1" x14ac:dyDescent="0.25"/>
    <row r="191" s="85" customFormat="1" ht="12.75" customHeight="1" x14ac:dyDescent="0.25"/>
    <row r="192" s="85" customFormat="1" ht="12.75" customHeight="1" x14ac:dyDescent="0.25"/>
    <row r="193" s="85" customFormat="1" ht="12.75" customHeight="1" x14ac:dyDescent="0.25"/>
    <row r="194" s="85" customFormat="1" ht="12.75" customHeight="1" x14ac:dyDescent="0.25"/>
    <row r="195" s="85" customFormat="1" ht="12.75" customHeight="1" x14ac:dyDescent="0.25"/>
    <row r="196" s="85" customFormat="1" ht="12.75" customHeight="1" x14ac:dyDescent="0.25"/>
    <row r="197" s="85" customFormat="1" ht="12.75" customHeight="1" x14ac:dyDescent="0.25"/>
    <row r="198" s="85" customFormat="1" ht="12.75" customHeight="1" x14ac:dyDescent="0.25"/>
    <row r="199" s="85" customFormat="1" ht="12.75" customHeight="1" x14ac:dyDescent="0.25"/>
    <row r="200" s="85" customFormat="1" ht="12.75" customHeight="1" x14ac:dyDescent="0.25"/>
    <row r="201" s="85" customFormat="1" ht="12.75" customHeight="1" x14ac:dyDescent="0.25"/>
    <row r="202" s="85" customFormat="1" ht="12.75" customHeight="1" x14ac:dyDescent="0.25"/>
    <row r="203" s="85" customFormat="1" ht="12.75" customHeight="1" x14ac:dyDescent="0.25"/>
    <row r="204" s="85" customFormat="1" ht="12.75" customHeight="1" x14ac:dyDescent="0.25"/>
    <row r="205" s="85" customFormat="1" ht="12.75" customHeight="1" x14ac:dyDescent="0.25"/>
    <row r="206" s="85" customFormat="1" ht="12.75" customHeight="1" x14ac:dyDescent="0.25"/>
    <row r="207" s="85" customFormat="1" ht="12.75" customHeight="1" x14ac:dyDescent="0.25"/>
    <row r="208" s="85" customFormat="1" ht="12.75" customHeight="1" x14ac:dyDescent="0.25"/>
    <row r="209" s="85" customFormat="1" ht="12.75" customHeight="1" x14ac:dyDescent="0.25"/>
    <row r="210" s="85" customFormat="1" ht="12.75" customHeight="1" x14ac:dyDescent="0.25"/>
    <row r="211" s="85" customFormat="1" ht="12.75" customHeight="1" x14ac:dyDescent="0.25"/>
    <row r="212" s="85" customFormat="1" ht="12.75" customHeight="1" x14ac:dyDescent="0.25"/>
    <row r="213" s="85" customFormat="1" ht="12.75" customHeight="1" x14ac:dyDescent="0.25"/>
    <row r="214" s="85" customFormat="1" ht="12.75" customHeight="1" x14ac:dyDescent="0.25"/>
    <row r="215" s="85" customFormat="1" ht="12.75" customHeight="1" x14ac:dyDescent="0.25"/>
    <row r="216" s="85" customFormat="1" ht="12.75" customHeight="1" x14ac:dyDescent="0.25"/>
    <row r="217" s="85" customFormat="1" ht="12.75" customHeight="1" x14ac:dyDescent="0.25"/>
    <row r="218" s="85" customFormat="1" ht="12.75" customHeight="1" x14ac:dyDescent="0.25"/>
    <row r="219" s="85" customFormat="1" ht="12.75" customHeight="1" x14ac:dyDescent="0.25"/>
    <row r="220" s="85" customFormat="1" ht="12.75" customHeight="1" x14ac:dyDescent="0.25"/>
    <row r="221" s="85" customFormat="1" ht="12.75" customHeight="1" x14ac:dyDescent="0.25"/>
    <row r="222" s="85" customFormat="1" ht="12.75" customHeight="1" x14ac:dyDescent="0.25"/>
    <row r="223" s="85" customFormat="1" ht="12.75" customHeight="1" x14ac:dyDescent="0.25"/>
    <row r="224" s="85" customFormat="1" ht="12.75" customHeight="1" x14ac:dyDescent="0.25"/>
    <row r="225" s="85" customFormat="1" ht="12.75" customHeight="1" x14ac:dyDescent="0.25"/>
    <row r="226" s="85" customFormat="1" ht="12.75" customHeight="1" x14ac:dyDescent="0.25"/>
    <row r="227" s="85" customFormat="1" ht="12.75" customHeight="1" x14ac:dyDescent="0.25"/>
    <row r="228" s="85" customFormat="1" ht="12.75" customHeight="1" x14ac:dyDescent="0.25"/>
    <row r="229" s="85" customFormat="1" ht="12.75" customHeight="1" x14ac:dyDescent="0.25"/>
    <row r="230" s="85" customFormat="1" ht="12.75" customHeight="1" x14ac:dyDescent="0.25"/>
    <row r="231" s="85" customFormat="1" ht="12.75" customHeight="1" x14ac:dyDescent="0.25"/>
    <row r="232" s="85" customFormat="1" ht="12.75" customHeight="1" x14ac:dyDescent="0.25"/>
    <row r="233" s="85" customFormat="1" ht="12.75" customHeight="1" x14ac:dyDescent="0.25"/>
    <row r="234" s="85" customFormat="1" ht="12.75" customHeight="1" x14ac:dyDescent="0.25"/>
    <row r="235" s="85" customFormat="1" ht="12.75" customHeight="1" x14ac:dyDescent="0.25"/>
    <row r="236" s="85" customFormat="1" ht="12.75" customHeight="1" x14ac:dyDescent="0.25"/>
    <row r="237" s="85" customFormat="1" ht="12.75" customHeight="1" x14ac:dyDescent="0.25"/>
    <row r="238" s="85" customFormat="1" ht="12.75" customHeight="1" x14ac:dyDescent="0.25"/>
    <row r="239" s="85" customFormat="1" ht="12.75" customHeight="1" x14ac:dyDescent="0.25"/>
    <row r="240" s="85" customFormat="1" ht="12.75" customHeight="1" x14ac:dyDescent="0.25"/>
    <row r="241" s="85" customFormat="1" ht="12.75" customHeight="1" x14ac:dyDescent="0.25"/>
    <row r="242" s="85" customFormat="1" ht="12.75" customHeight="1" x14ac:dyDescent="0.25"/>
    <row r="243" s="85" customFormat="1" ht="12.75" customHeight="1" x14ac:dyDescent="0.25"/>
    <row r="244" s="85" customFormat="1" ht="12.75" customHeight="1" x14ac:dyDescent="0.25"/>
    <row r="245" s="85" customFormat="1" ht="12.75" customHeight="1" x14ac:dyDescent="0.25"/>
    <row r="246" s="85" customFormat="1" ht="12.75" customHeight="1" x14ac:dyDescent="0.25"/>
    <row r="247" s="85" customFormat="1" ht="12.75" customHeight="1" x14ac:dyDescent="0.25"/>
    <row r="248" s="85" customFormat="1" ht="12.75" customHeight="1" x14ac:dyDescent="0.25"/>
    <row r="249" s="85" customFormat="1" ht="12.75" customHeight="1" x14ac:dyDescent="0.25"/>
    <row r="250" s="85" customFormat="1" ht="12.75" customHeight="1" x14ac:dyDescent="0.25"/>
    <row r="251" s="85" customFormat="1" ht="12.75" customHeight="1" x14ac:dyDescent="0.25"/>
    <row r="252" s="85" customFormat="1" ht="12.75" customHeight="1" x14ac:dyDescent="0.25"/>
    <row r="253" s="85" customFormat="1" ht="12.75" customHeight="1" x14ac:dyDescent="0.25"/>
    <row r="254" s="85" customFormat="1" ht="12.75" customHeight="1" x14ac:dyDescent="0.25"/>
    <row r="255" s="85" customFormat="1" ht="12.75" customHeight="1" x14ac:dyDescent="0.25"/>
    <row r="256" s="85" customFormat="1" ht="12.75" customHeight="1" x14ac:dyDescent="0.25"/>
    <row r="257" s="85" customFormat="1" ht="12.75" customHeight="1" x14ac:dyDescent="0.25"/>
    <row r="258" s="85" customFormat="1" ht="12.75" customHeight="1" x14ac:dyDescent="0.25"/>
    <row r="259" s="85" customFormat="1" ht="12.75" customHeight="1" x14ac:dyDescent="0.25"/>
    <row r="260" s="85" customFormat="1" ht="12.75" customHeight="1" x14ac:dyDescent="0.25"/>
    <row r="261" s="85" customFormat="1" ht="12.75" customHeight="1" x14ac:dyDescent="0.25"/>
    <row r="262" s="85" customFormat="1" ht="12.75" customHeight="1" x14ac:dyDescent="0.25"/>
    <row r="263" s="85" customFormat="1" ht="12.75" customHeight="1" x14ac:dyDescent="0.25"/>
    <row r="264" s="85" customFormat="1" ht="12.75" customHeight="1" x14ac:dyDescent="0.25"/>
    <row r="265" s="85" customFormat="1" ht="12.75" customHeight="1" x14ac:dyDescent="0.25"/>
    <row r="266" s="85" customFormat="1" ht="12.75" customHeight="1" x14ac:dyDescent="0.25"/>
    <row r="267" s="85" customFormat="1" ht="12.75" customHeight="1" x14ac:dyDescent="0.25"/>
    <row r="268" s="85" customFormat="1" ht="12.75" customHeight="1" x14ac:dyDescent="0.25"/>
    <row r="269" s="85" customFormat="1" ht="12.75" customHeight="1" x14ac:dyDescent="0.25"/>
    <row r="270" s="85" customFormat="1" ht="12.75" customHeight="1" x14ac:dyDescent="0.25"/>
    <row r="271" s="85" customFormat="1" ht="12.75" customHeight="1" x14ac:dyDescent="0.25"/>
    <row r="272" s="85" customFormat="1" ht="12.75" customHeight="1" x14ac:dyDescent="0.25"/>
    <row r="273" s="85" customFormat="1" ht="12.75" customHeight="1" x14ac:dyDescent="0.25"/>
    <row r="274" s="85" customFormat="1" ht="12.75" customHeight="1" x14ac:dyDescent="0.25"/>
    <row r="275" s="85" customFormat="1" ht="12.75" customHeight="1" x14ac:dyDescent="0.25"/>
    <row r="276" s="85" customFormat="1" ht="12.75" customHeight="1" x14ac:dyDescent="0.25"/>
    <row r="277" s="85" customFormat="1" ht="12.75" customHeight="1" x14ac:dyDescent="0.25"/>
    <row r="278" s="85" customFormat="1" ht="12.75" customHeight="1" x14ac:dyDescent="0.25"/>
    <row r="279" s="85" customFormat="1" ht="12.75" customHeight="1" x14ac:dyDescent="0.25"/>
    <row r="280" s="85" customFormat="1" ht="12.75" customHeight="1" x14ac:dyDescent="0.25"/>
    <row r="281" s="85" customFormat="1" ht="12.75" customHeight="1" x14ac:dyDescent="0.25"/>
    <row r="282" s="85" customFormat="1" ht="12.75" customHeight="1" x14ac:dyDescent="0.25"/>
    <row r="283" s="85" customFormat="1" ht="12.75" customHeight="1" x14ac:dyDescent="0.25"/>
    <row r="284" s="85" customFormat="1" ht="12.75" customHeight="1" x14ac:dyDescent="0.25"/>
    <row r="285" s="85" customFormat="1" ht="12.75" customHeight="1" x14ac:dyDescent="0.25"/>
    <row r="286" s="85" customFormat="1" ht="12.75" customHeight="1" x14ac:dyDescent="0.25"/>
    <row r="287" s="85" customFormat="1" ht="12.75" customHeight="1" x14ac:dyDescent="0.25"/>
    <row r="288" s="85" customFormat="1" ht="12.75" customHeight="1" x14ac:dyDescent="0.25"/>
    <row r="289" s="85" customFormat="1" ht="12.75" customHeight="1" x14ac:dyDescent="0.25"/>
    <row r="290" s="85" customFormat="1" ht="12.75" customHeight="1" x14ac:dyDescent="0.25"/>
    <row r="291" s="85" customFormat="1" ht="12.75" customHeight="1" x14ac:dyDescent="0.25"/>
    <row r="292" s="85" customFormat="1" ht="12.75" customHeight="1" x14ac:dyDescent="0.25"/>
    <row r="293" s="85" customFormat="1" ht="12.75" customHeight="1" x14ac:dyDescent="0.25"/>
    <row r="294" s="85" customFormat="1" ht="12.75" customHeight="1" x14ac:dyDescent="0.25"/>
    <row r="295" s="85" customFormat="1" ht="12.75" customHeight="1" x14ac:dyDescent="0.25"/>
    <row r="296" s="85" customFormat="1" ht="12.75" customHeight="1" x14ac:dyDescent="0.25"/>
    <row r="297" s="85" customFormat="1" ht="12.75" customHeight="1" x14ac:dyDescent="0.25"/>
    <row r="298" s="85" customFormat="1" ht="12.75" customHeight="1" x14ac:dyDescent="0.25"/>
    <row r="299" s="85" customFormat="1" ht="12.75" customHeight="1" x14ac:dyDescent="0.25"/>
    <row r="300" s="85" customFormat="1" ht="12.75" customHeight="1" x14ac:dyDescent="0.25"/>
    <row r="301" s="85" customFormat="1" ht="12.75" customHeight="1" x14ac:dyDescent="0.25"/>
    <row r="302" s="85" customFormat="1" ht="12.75" customHeight="1" x14ac:dyDescent="0.25"/>
    <row r="303" s="85" customFormat="1" ht="12.75" customHeight="1" x14ac:dyDescent="0.25"/>
    <row r="304" s="85" customFormat="1" ht="12.75" customHeight="1" x14ac:dyDescent="0.25"/>
    <row r="305" s="85" customFormat="1" ht="12.75" customHeight="1" x14ac:dyDescent="0.25"/>
    <row r="306" s="85" customFormat="1" ht="12.75" customHeight="1" x14ac:dyDescent="0.25"/>
    <row r="307" s="85" customFormat="1" ht="12.75" customHeight="1" x14ac:dyDescent="0.25"/>
    <row r="308" s="85" customFormat="1" ht="12.75" customHeight="1" x14ac:dyDescent="0.25"/>
    <row r="309" s="85" customFormat="1" ht="12.75" customHeight="1" x14ac:dyDescent="0.25"/>
    <row r="310" s="85" customFormat="1" ht="12.75" customHeight="1" x14ac:dyDescent="0.25"/>
    <row r="311" s="85" customFormat="1" ht="12.75" customHeight="1" x14ac:dyDescent="0.25"/>
    <row r="312" s="85" customFormat="1" ht="12.75" customHeight="1" x14ac:dyDescent="0.25"/>
    <row r="313" s="85" customFormat="1" ht="12.75" customHeight="1" x14ac:dyDescent="0.25"/>
    <row r="314" s="85" customFormat="1" ht="12.75" customHeight="1" x14ac:dyDescent="0.25"/>
    <row r="315" s="85" customFormat="1" ht="12.75" customHeight="1" x14ac:dyDescent="0.25"/>
    <row r="316" s="85" customFormat="1" ht="12.75" customHeight="1" x14ac:dyDescent="0.25"/>
    <row r="317" s="85" customFormat="1" ht="12.75" customHeight="1" x14ac:dyDescent="0.25"/>
    <row r="318" s="85" customFormat="1" ht="12.75" customHeight="1" x14ac:dyDescent="0.25"/>
    <row r="319" s="85" customFormat="1" ht="12.75" customHeight="1" x14ac:dyDescent="0.25"/>
    <row r="320" s="85" customFormat="1" ht="12.75" customHeight="1" x14ac:dyDescent="0.25"/>
    <row r="321" s="85" customFormat="1" ht="12.75" customHeight="1" x14ac:dyDescent="0.25"/>
    <row r="322" s="85" customFormat="1" ht="12.75" customHeight="1" x14ac:dyDescent="0.25"/>
    <row r="323" s="85" customFormat="1" ht="12.75" customHeight="1" x14ac:dyDescent="0.25"/>
    <row r="324" s="85" customFormat="1" ht="12.75" customHeight="1" x14ac:dyDescent="0.25"/>
    <row r="325" s="85" customFormat="1" ht="12.75" customHeight="1" x14ac:dyDescent="0.25"/>
    <row r="326" s="85" customFormat="1" ht="12.75" customHeight="1" x14ac:dyDescent="0.25"/>
    <row r="327" s="85" customFormat="1" ht="12.75" customHeight="1" x14ac:dyDescent="0.25"/>
    <row r="328" s="85" customFormat="1" ht="12.75" customHeight="1" x14ac:dyDescent="0.25"/>
    <row r="329" s="85" customFormat="1" ht="12.75" customHeight="1" x14ac:dyDescent="0.25"/>
    <row r="330" s="85" customFormat="1" ht="12.75" customHeight="1" x14ac:dyDescent="0.25"/>
    <row r="331" s="85" customFormat="1" ht="12.75" customHeight="1" x14ac:dyDescent="0.25"/>
    <row r="332" s="85" customFormat="1" ht="12.75" customHeight="1" x14ac:dyDescent="0.25"/>
    <row r="333" s="85" customFormat="1" ht="12.75" customHeight="1" x14ac:dyDescent="0.25"/>
    <row r="334" s="85" customFormat="1" ht="12.75" customHeight="1" x14ac:dyDescent="0.25"/>
    <row r="335" s="85" customFormat="1" ht="12.75" customHeight="1" x14ac:dyDescent="0.25"/>
    <row r="336" s="85" customFormat="1" ht="12.75" customHeight="1" x14ac:dyDescent="0.25"/>
    <row r="337" s="85" customFormat="1" ht="12.75" customHeight="1" x14ac:dyDescent="0.25"/>
    <row r="338" s="85" customFormat="1" ht="12.75" customHeight="1" x14ac:dyDescent="0.25"/>
    <row r="339" s="85" customFormat="1" ht="12.75" customHeight="1" x14ac:dyDescent="0.25"/>
    <row r="340" s="85" customFormat="1" ht="12.75" customHeight="1" x14ac:dyDescent="0.25"/>
    <row r="341" s="85" customFormat="1" ht="12.75" customHeight="1" x14ac:dyDescent="0.25"/>
    <row r="342" s="85" customFormat="1" ht="12.75" customHeight="1" x14ac:dyDescent="0.25"/>
    <row r="343" s="85" customFormat="1" ht="12.75" customHeight="1" x14ac:dyDescent="0.25"/>
    <row r="344" s="85" customFormat="1" ht="12.75" customHeight="1" x14ac:dyDescent="0.25"/>
    <row r="345" s="85" customFormat="1" ht="12.75" customHeight="1" x14ac:dyDescent="0.25"/>
    <row r="346" s="85" customFormat="1" ht="12.75" customHeight="1" x14ac:dyDescent="0.25"/>
    <row r="347" s="85" customFormat="1" ht="12.75" customHeight="1" x14ac:dyDescent="0.25"/>
    <row r="348" s="85" customFormat="1" ht="12.75" customHeight="1" x14ac:dyDescent="0.25"/>
    <row r="349" s="85" customFormat="1" ht="12.75" customHeight="1" x14ac:dyDescent="0.25"/>
    <row r="350" s="85" customFormat="1" ht="12.75" customHeight="1" x14ac:dyDescent="0.25"/>
    <row r="351" s="85" customFormat="1" ht="12.75" customHeight="1" x14ac:dyDescent="0.25"/>
    <row r="352" s="85" customFormat="1" ht="12.75" customHeight="1" x14ac:dyDescent="0.25"/>
    <row r="353" s="85" customFormat="1" ht="12.75" customHeight="1" x14ac:dyDescent="0.25"/>
    <row r="354" s="85" customFormat="1" ht="12.75" customHeight="1" x14ac:dyDescent="0.25"/>
    <row r="355" s="85" customFormat="1" ht="12.75" customHeight="1" x14ac:dyDescent="0.25"/>
    <row r="356" s="85" customFormat="1" ht="12.75" customHeight="1" x14ac:dyDescent="0.25"/>
    <row r="357" s="85" customFormat="1" ht="12.75" customHeight="1" x14ac:dyDescent="0.25"/>
    <row r="358" s="85" customFormat="1" ht="12.75" customHeight="1" x14ac:dyDescent="0.25"/>
    <row r="359" s="85" customFormat="1" ht="12.75" customHeight="1" x14ac:dyDescent="0.25"/>
    <row r="360" s="85" customFormat="1" ht="12.75" customHeight="1" x14ac:dyDescent="0.25"/>
    <row r="361" s="85" customFormat="1" ht="12.75" customHeight="1" x14ac:dyDescent="0.25"/>
    <row r="362" s="85" customFormat="1" ht="12.75" customHeight="1" x14ac:dyDescent="0.25"/>
    <row r="363" s="85" customFormat="1" ht="12.75" customHeight="1" x14ac:dyDescent="0.25"/>
    <row r="364" s="85" customFormat="1" ht="12.75" customHeight="1" x14ac:dyDescent="0.25"/>
    <row r="365" s="85" customFormat="1" ht="12.75" customHeight="1" x14ac:dyDescent="0.25"/>
    <row r="366" s="85" customFormat="1" ht="12.75" customHeight="1" x14ac:dyDescent="0.25"/>
    <row r="367" s="85" customFormat="1" ht="12.75" customHeight="1" x14ac:dyDescent="0.25"/>
    <row r="368" s="85" customFormat="1" ht="12.75" customHeight="1" x14ac:dyDescent="0.25"/>
    <row r="369" s="85" customFormat="1" ht="12.75" customHeight="1" x14ac:dyDescent="0.25"/>
    <row r="370" s="85" customFormat="1" ht="12.75" customHeight="1" x14ac:dyDescent="0.25"/>
    <row r="371" s="85" customFormat="1" ht="12.75" customHeight="1" x14ac:dyDescent="0.25"/>
    <row r="372" s="85" customFormat="1" ht="12.75" customHeight="1" x14ac:dyDescent="0.25"/>
    <row r="373" s="85" customFormat="1" ht="12.75" customHeight="1" x14ac:dyDescent="0.25"/>
    <row r="374" s="85" customFormat="1" ht="12.75" customHeight="1" x14ac:dyDescent="0.25"/>
    <row r="375" s="85" customFormat="1" ht="12.75" customHeight="1" x14ac:dyDescent="0.25"/>
    <row r="376" s="85" customFormat="1" ht="12.75" customHeight="1" x14ac:dyDescent="0.25"/>
    <row r="377" s="85" customFormat="1" ht="12.75" customHeight="1" x14ac:dyDescent="0.25"/>
    <row r="378" s="85" customFormat="1" ht="12.75" customHeight="1" x14ac:dyDescent="0.25"/>
    <row r="379" s="85" customFormat="1" ht="12.75" customHeight="1" x14ac:dyDescent="0.25"/>
    <row r="380" s="85" customFormat="1" ht="12.75" customHeight="1" x14ac:dyDescent="0.25"/>
    <row r="381" s="85" customFormat="1" ht="12.75" customHeight="1" x14ac:dyDescent="0.25"/>
    <row r="382" s="85" customFormat="1" ht="12.75" customHeight="1" x14ac:dyDescent="0.25"/>
    <row r="383" s="85" customFormat="1" ht="12.75" customHeight="1" x14ac:dyDescent="0.25"/>
    <row r="384" s="85" customFormat="1" ht="12.75" customHeight="1" x14ac:dyDescent="0.25"/>
    <row r="385" s="85" customFormat="1" ht="12.75" customHeight="1" x14ac:dyDescent="0.25"/>
    <row r="386" s="85" customFormat="1" ht="12.75" customHeight="1" x14ac:dyDescent="0.25"/>
    <row r="387" s="85" customFormat="1" ht="12.75" customHeight="1" x14ac:dyDescent="0.25"/>
    <row r="388" s="85" customFormat="1" ht="12.75" customHeight="1" x14ac:dyDescent="0.25"/>
    <row r="389" s="85" customFormat="1" ht="12.75" customHeight="1" x14ac:dyDescent="0.25"/>
    <row r="390" s="85" customFormat="1" ht="12.75" customHeight="1" x14ac:dyDescent="0.25"/>
    <row r="391" s="85" customFormat="1" ht="12.75" customHeight="1" x14ac:dyDescent="0.25"/>
    <row r="392" s="85" customFormat="1" ht="12.75" customHeight="1" x14ac:dyDescent="0.25"/>
    <row r="393" s="85" customFormat="1" ht="12.75" customHeight="1" x14ac:dyDescent="0.25"/>
    <row r="394" s="85" customFormat="1" ht="12.75" customHeight="1" x14ac:dyDescent="0.25"/>
    <row r="395" s="85" customFormat="1" ht="12.75" customHeight="1" x14ac:dyDescent="0.25"/>
    <row r="396" s="85" customFormat="1" ht="12.75" customHeight="1" x14ac:dyDescent="0.25"/>
    <row r="397" s="85" customFormat="1" ht="12.75" customHeight="1" x14ac:dyDescent="0.25"/>
    <row r="398" s="85" customFormat="1" ht="12.75" customHeight="1" x14ac:dyDescent="0.25"/>
    <row r="399" s="85" customFormat="1" ht="12.75" customHeight="1" x14ac:dyDescent="0.25"/>
    <row r="400" s="85" customFormat="1" ht="12.75" customHeight="1" x14ac:dyDescent="0.25"/>
    <row r="401" s="85" customFormat="1" ht="12.75" customHeight="1" x14ac:dyDescent="0.25"/>
    <row r="402" s="85" customFormat="1" ht="12.75" customHeight="1" x14ac:dyDescent="0.25"/>
    <row r="403" s="85" customFormat="1" ht="12.75" customHeight="1" x14ac:dyDescent="0.25"/>
    <row r="404" s="85" customFormat="1" ht="12.75" customHeight="1" x14ac:dyDescent="0.25"/>
    <row r="405" s="85" customFormat="1" ht="12.75" customHeight="1" x14ac:dyDescent="0.25"/>
    <row r="406" s="85" customFormat="1" ht="12.75" customHeight="1" x14ac:dyDescent="0.25"/>
    <row r="407" s="85" customFormat="1" ht="12.75" customHeight="1" x14ac:dyDescent="0.25"/>
    <row r="408" s="85" customFormat="1" ht="12.75" customHeight="1" x14ac:dyDescent="0.25"/>
    <row r="409" s="85" customFormat="1" ht="12.75" customHeight="1" x14ac:dyDescent="0.25"/>
    <row r="410" s="85" customFormat="1" ht="12.75" customHeight="1" x14ac:dyDescent="0.25"/>
    <row r="411" s="85" customFormat="1" ht="12.75" customHeight="1" x14ac:dyDescent="0.25"/>
    <row r="412" s="85" customFormat="1" ht="12.75" customHeight="1" x14ac:dyDescent="0.25"/>
    <row r="413" s="85" customFormat="1" ht="12.75" customHeight="1" x14ac:dyDescent="0.25"/>
    <row r="414" s="85" customFormat="1" ht="12.75" customHeight="1" x14ac:dyDescent="0.25"/>
    <row r="415" s="85" customFormat="1" ht="12.75" customHeight="1" x14ac:dyDescent="0.25"/>
    <row r="416" s="85" customFormat="1" ht="12.75" customHeight="1" x14ac:dyDescent="0.25"/>
    <row r="417" s="85" customFormat="1" ht="12.75" customHeight="1" x14ac:dyDescent="0.25"/>
    <row r="418" s="85" customFormat="1" ht="12.75" customHeight="1" x14ac:dyDescent="0.25"/>
    <row r="419" s="85" customFormat="1" ht="12.75" customHeight="1" x14ac:dyDescent="0.25"/>
    <row r="420" s="85" customFormat="1" ht="12.75" customHeight="1" x14ac:dyDescent="0.25"/>
    <row r="421" s="85" customFormat="1" ht="12.75" customHeight="1" x14ac:dyDescent="0.25"/>
    <row r="422" s="85" customFormat="1" ht="12.75" customHeight="1" x14ac:dyDescent="0.25"/>
    <row r="423" s="85" customFormat="1" ht="12.75" customHeight="1" x14ac:dyDescent="0.25"/>
    <row r="424" s="85" customFormat="1" ht="12.75" customHeight="1" x14ac:dyDescent="0.25"/>
    <row r="425" s="85" customFormat="1" ht="12.75" customHeight="1" x14ac:dyDescent="0.25"/>
    <row r="426" s="85" customFormat="1" ht="12.75" customHeight="1" x14ac:dyDescent="0.25"/>
    <row r="427" s="85" customFormat="1" ht="12.75" customHeight="1" x14ac:dyDescent="0.25"/>
    <row r="428" s="85" customFormat="1" ht="12.75" customHeight="1" x14ac:dyDescent="0.25"/>
    <row r="429" s="85" customFormat="1" ht="12.75" customHeight="1" x14ac:dyDescent="0.25"/>
    <row r="430" s="85" customFormat="1" ht="12.75" customHeight="1" x14ac:dyDescent="0.25"/>
    <row r="431" s="85" customFormat="1" ht="12.75" customHeight="1" x14ac:dyDescent="0.25"/>
    <row r="432" s="85" customFormat="1" ht="12.75" customHeight="1" x14ac:dyDescent="0.25"/>
    <row r="433" s="85" customFormat="1" ht="12.75" customHeight="1" x14ac:dyDescent="0.25"/>
    <row r="434" s="85" customFormat="1" ht="12.75" customHeight="1" x14ac:dyDescent="0.25"/>
    <row r="435" s="85" customFormat="1" ht="12.75" customHeight="1" x14ac:dyDescent="0.25"/>
    <row r="436" s="85" customFormat="1" ht="12.75" customHeight="1" x14ac:dyDescent="0.25"/>
    <row r="437" s="85" customFormat="1" ht="12.75" customHeight="1" x14ac:dyDescent="0.25"/>
    <row r="438" s="85" customFormat="1" ht="12.75" customHeight="1" x14ac:dyDescent="0.25"/>
    <row r="439" s="85" customFormat="1" ht="12.75" customHeight="1" x14ac:dyDescent="0.25"/>
    <row r="440" s="85" customFormat="1" ht="12.75" customHeight="1" x14ac:dyDescent="0.25"/>
    <row r="441" s="85" customFormat="1" ht="12.75" customHeight="1" x14ac:dyDescent="0.25"/>
    <row r="442" s="85" customFormat="1" ht="12.75" customHeight="1" x14ac:dyDescent="0.25"/>
    <row r="443" s="85" customFormat="1" ht="12.75" customHeight="1" x14ac:dyDescent="0.25"/>
    <row r="444" s="85" customFormat="1" ht="12.75" customHeight="1" x14ac:dyDescent="0.25"/>
    <row r="445" s="85" customFormat="1" ht="12.75" customHeight="1" x14ac:dyDescent="0.25"/>
    <row r="446" s="85" customFormat="1" ht="12.75" customHeight="1" x14ac:dyDescent="0.25"/>
    <row r="447" s="85" customFormat="1" ht="12.75" customHeight="1" x14ac:dyDescent="0.25"/>
    <row r="448" s="85" customFormat="1" ht="12.75" customHeight="1" x14ac:dyDescent="0.25"/>
    <row r="449" s="85" customFormat="1" ht="12.75" customHeight="1" x14ac:dyDescent="0.25"/>
    <row r="450" s="85" customFormat="1" ht="12.75" customHeight="1" x14ac:dyDescent="0.25"/>
    <row r="451" s="85" customFormat="1" ht="12.75" customHeight="1" x14ac:dyDescent="0.25"/>
    <row r="452" s="85" customFormat="1" ht="12.75" customHeight="1" x14ac:dyDescent="0.25"/>
    <row r="453" s="85" customFormat="1" ht="12.75" customHeight="1" x14ac:dyDescent="0.25"/>
    <row r="454" s="85" customFormat="1" ht="12.75" customHeight="1" x14ac:dyDescent="0.25"/>
    <row r="455" s="85" customFormat="1" ht="12.75" customHeight="1" x14ac:dyDescent="0.25"/>
    <row r="456" s="85" customFormat="1" ht="12.75" customHeight="1" x14ac:dyDescent="0.25"/>
    <row r="457" s="85" customFormat="1" ht="12.75" customHeight="1" x14ac:dyDescent="0.25"/>
    <row r="458" s="85" customFormat="1" ht="12.75" customHeight="1" x14ac:dyDescent="0.25"/>
    <row r="459" s="85" customFormat="1" ht="12.75" customHeight="1" x14ac:dyDescent="0.25"/>
    <row r="460" s="85" customFormat="1" ht="12.75" customHeight="1" x14ac:dyDescent="0.25"/>
    <row r="461" s="85" customFormat="1" ht="12.75" customHeight="1" x14ac:dyDescent="0.25"/>
    <row r="462" s="85" customFormat="1" ht="12.75" customHeight="1" x14ac:dyDescent="0.25"/>
    <row r="463" s="85" customFormat="1" ht="12.75" customHeight="1" x14ac:dyDescent="0.25"/>
    <row r="464" s="85" customFormat="1" ht="12.75" customHeight="1" x14ac:dyDescent="0.25"/>
    <row r="465" s="85" customFormat="1" ht="12.75" customHeight="1" x14ac:dyDescent="0.25"/>
    <row r="466" s="85" customFormat="1" ht="12.75" customHeight="1" x14ac:dyDescent="0.25"/>
    <row r="467" s="85" customFormat="1" ht="12.75" customHeight="1" x14ac:dyDescent="0.25"/>
    <row r="468" s="85" customFormat="1" ht="12.75" customHeight="1" x14ac:dyDescent="0.25"/>
    <row r="469" s="85" customFormat="1" ht="12.75" customHeight="1" x14ac:dyDescent="0.25"/>
    <row r="470" s="85" customFormat="1" ht="12.75" customHeight="1" x14ac:dyDescent="0.25"/>
    <row r="471" s="85" customFormat="1" ht="12.75" customHeight="1" x14ac:dyDescent="0.25"/>
    <row r="472" s="85" customFormat="1" ht="12.75" customHeight="1" x14ac:dyDescent="0.25"/>
    <row r="473" s="85" customFormat="1" ht="12.75" customHeight="1" x14ac:dyDescent="0.25"/>
    <row r="474" s="85" customFormat="1" ht="12.75" customHeight="1" x14ac:dyDescent="0.25"/>
    <row r="475" s="85" customFormat="1" ht="12.75" customHeight="1" x14ac:dyDescent="0.25"/>
    <row r="476" s="85" customFormat="1" ht="12.75" customHeight="1" x14ac:dyDescent="0.25"/>
    <row r="477" s="85" customFormat="1" ht="12.75" customHeight="1" x14ac:dyDescent="0.25"/>
    <row r="478" s="85" customFormat="1" ht="12.75" customHeight="1" x14ac:dyDescent="0.25"/>
    <row r="479" s="85" customFormat="1" ht="12.75" customHeight="1" x14ac:dyDescent="0.25"/>
    <row r="480" s="85" customFormat="1" ht="12.75" customHeight="1" x14ac:dyDescent="0.25"/>
    <row r="481" s="85" customFormat="1" ht="12.75" customHeight="1" x14ac:dyDescent="0.25"/>
    <row r="482" s="85" customFormat="1" ht="12.75" customHeight="1" x14ac:dyDescent="0.25"/>
    <row r="483" s="85" customFormat="1" ht="12.75" customHeight="1" x14ac:dyDescent="0.25"/>
    <row r="484" s="85" customFormat="1" ht="12.75" customHeight="1" x14ac:dyDescent="0.25"/>
    <row r="485" s="85" customFormat="1" ht="12.75" customHeight="1" x14ac:dyDescent="0.25"/>
    <row r="486" s="85" customFormat="1" ht="12.75" customHeight="1" x14ac:dyDescent="0.25"/>
    <row r="487" s="85" customFormat="1" ht="12.75" customHeight="1" x14ac:dyDescent="0.25"/>
    <row r="488" s="85" customFormat="1" ht="12.75" customHeight="1" x14ac:dyDescent="0.25"/>
    <row r="489" s="85" customFormat="1" ht="12.75" customHeight="1" x14ac:dyDescent="0.25"/>
    <row r="490" s="85" customFormat="1" ht="12.75" customHeight="1" x14ac:dyDescent="0.25"/>
    <row r="491" s="85" customFormat="1" ht="12.75" customHeight="1" x14ac:dyDescent="0.25"/>
    <row r="492" s="85" customFormat="1" ht="12.75" customHeight="1" x14ac:dyDescent="0.25"/>
    <row r="493" s="85" customFormat="1" ht="12.75" customHeight="1" x14ac:dyDescent="0.25"/>
    <row r="494" s="85" customFormat="1" ht="12.75" customHeight="1" x14ac:dyDescent="0.25"/>
    <row r="495" s="85" customFormat="1" ht="12.75" customHeight="1" x14ac:dyDescent="0.25"/>
    <row r="496" s="85" customFormat="1" ht="12.75" customHeight="1" x14ac:dyDescent="0.25"/>
    <row r="497" s="85" customFormat="1" ht="12.75" customHeight="1" x14ac:dyDescent="0.25"/>
    <row r="498" s="85" customFormat="1" ht="12.75" customHeight="1" x14ac:dyDescent="0.25"/>
    <row r="499" s="85" customFormat="1" ht="12.75" customHeight="1" x14ac:dyDescent="0.25"/>
    <row r="500" s="85" customFormat="1" ht="12.75" customHeight="1" x14ac:dyDescent="0.25"/>
    <row r="501" s="85" customFormat="1" ht="12.75" customHeight="1" x14ac:dyDescent="0.25"/>
    <row r="502" s="85" customFormat="1" ht="12.75" customHeight="1" x14ac:dyDescent="0.25"/>
    <row r="503" s="85" customFormat="1" ht="12.75" customHeight="1" x14ac:dyDescent="0.25"/>
    <row r="504" s="85" customFormat="1" ht="12.75" customHeight="1" x14ac:dyDescent="0.25"/>
    <row r="505" s="85" customFormat="1" ht="12.75" customHeight="1" x14ac:dyDescent="0.25"/>
    <row r="506" s="85" customFormat="1" ht="12.75" customHeight="1" x14ac:dyDescent="0.25"/>
    <row r="507" s="85" customFormat="1" ht="12.75" customHeight="1" x14ac:dyDescent="0.25"/>
    <row r="508" s="85" customFormat="1" ht="12.75" customHeight="1" x14ac:dyDescent="0.25"/>
    <row r="509" s="85" customFormat="1" ht="12.75" customHeight="1" x14ac:dyDescent="0.25"/>
    <row r="510" s="85" customFormat="1" ht="12.75" customHeight="1" x14ac:dyDescent="0.25"/>
    <row r="511" s="85" customFormat="1" ht="12.75" customHeight="1" x14ac:dyDescent="0.25"/>
    <row r="512" s="85" customFormat="1" ht="12.75" customHeight="1" x14ac:dyDescent="0.25"/>
    <row r="513" s="85" customFormat="1" ht="12.75" customHeight="1" x14ac:dyDescent="0.25"/>
    <row r="514" s="85" customFormat="1" ht="12.75" customHeight="1" x14ac:dyDescent="0.25"/>
    <row r="515" s="85" customFormat="1" ht="12.75" customHeight="1" x14ac:dyDescent="0.25"/>
    <row r="516" s="85" customFormat="1" ht="12.75" customHeight="1" x14ac:dyDescent="0.25"/>
    <row r="517" s="85" customFormat="1" ht="12.75" customHeight="1" x14ac:dyDescent="0.25"/>
    <row r="518" s="85" customFormat="1" ht="12.75" customHeight="1" x14ac:dyDescent="0.25"/>
    <row r="519" s="85" customFormat="1" ht="12.75" customHeight="1" x14ac:dyDescent="0.25"/>
    <row r="520" s="85" customFormat="1" ht="12.75" customHeight="1" x14ac:dyDescent="0.25"/>
    <row r="521" s="85" customFormat="1" ht="12.75" customHeight="1" x14ac:dyDescent="0.25"/>
    <row r="522" s="85" customFormat="1" ht="12.75" customHeight="1" x14ac:dyDescent="0.25"/>
    <row r="523" s="85" customFormat="1" ht="12.75" customHeight="1" x14ac:dyDescent="0.25"/>
    <row r="524" s="85" customFormat="1" ht="12.75" customHeight="1" x14ac:dyDescent="0.25"/>
    <row r="525" s="85" customFormat="1" ht="12.75" customHeight="1" x14ac:dyDescent="0.25"/>
    <row r="526" s="85" customFormat="1" ht="12.75" customHeight="1" x14ac:dyDescent="0.25"/>
    <row r="527" s="85" customFormat="1" ht="12.75" customHeight="1" x14ac:dyDescent="0.25"/>
    <row r="528" s="85" customFormat="1" ht="12.75" customHeight="1" x14ac:dyDescent="0.25"/>
    <row r="529" s="85" customFormat="1" ht="12.75" customHeight="1" x14ac:dyDescent="0.25"/>
    <row r="530" s="85" customFormat="1" ht="12.75" customHeight="1" x14ac:dyDescent="0.25"/>
    <row r="531" s="85" customFormat="1" ht="12.75" customHeight="1" x14ac:dyDescent="0.25"/>
    <row r="532" s="85" customFormat="1" ht="12.75" customHeight="1" x14ac:dyDescent="0.25"/>
    <row r="533" s="85" customFormat="1" ht="12.75" customHeight="1" x14ac:dyDescent="0.25"/>
    <row r="534" s="85" customFormat="1" ht="12.75" customHeight="1" x14ac:dyDescent="0.25"/>
    <row r="535" s="85" customFormat="1" ht="12.75" customHeight="1" x14ac:dyDescent="0.25"/>
    <row r="536" s="85" customFormat="1" ht="12.75" customHeight="1" x14ac:dyDescent="0.25"/>
    <row r="537" s="85" customFormat="1" ht="12.75" customHeight="1" x14ac:dyDescent="0.25"/>
    <row r="538" s="85" customFormat="1" ht="12.75" customHeight="1" x14ac:dyDescent="0.25"/>
    <row r="539" s="85" customFormat="1" ht="12.75" customHeight="1" x14ac:dyDescent="0.25"/>
    <row r="540" s="85" customFormat="1" ht="12.75" customHeight="1" x14ac:dyDescent="0.25"/>
    <row r="541" s="85" customFormat="1" ht="12.75" customHeight="1" x14ac:dyDescent="0.25"/>
    <row r="542" s="85" customFormat="1" ht="12.75" customHeight="1" x14ac:dyDescent="0.25"/>
    <row r="543" s="85" customFormat="1" ht="12.75" customHeight="1" x14ac:dyDescent="0.25"/>
    <row r="544" s="85" customFormat="1" ht="12.75" customHeight="1" x14ac:dyDescent="0.25"/>
    <row r="545" s="85" customFormat="1" ht="12.75" customHeight="1" x14ac:dyDescent="0.25"/>
    <row r="546" s="85" customFormat="1" ht="12.75" customHeight="1" x14ac:dyDescent="0.25"/>
    <row r="547" s="85" customFormat="1" ht="12.75" customHeight="1" x14ac:dyDescent="0.25"/>
    <row r="548" s="85" customFormat="1" ht="12.75" customHeight="1" x14ac:dyDescent="0.25"/>
    <row r="549" s="85" customFormat="1" ht="12.75" customHeight="1" x14ac:dyDescent="0.25"/>
    <row r="550" s="85" customFormat="1" ht="12.75" customHeight="1" x14ac:dyDescent="0.25"/>
    <row r="551" s="85" customFormat="1" ht="12.75" customHeight="1" x14ac:dyDescent="0.25"/>
    <row r="552" s="85" customFormat="1" ht="12.75" customHeight="1" x14ac:dyDescent="0.25"/>
    <row r="553" s="85" customFormat="1" ht="12.75" customHeight="1" x14ac:dyDescent="0.25"/>
    <row r="554" s="85" customFormat="1" ht="12.75" customHeight="1" x14ac:dyDescent="0.25"/>
    <row r="555" s="85" customFormat="1" ht="12.75" customHeight="1" x14ac:dyDescent="0.25"/>
    <row r="556" s="85" customFormat="1" ht="12.75" customHeight="1" x14ac:dyDescent="0.25"/>
    <row r="557" s="85" customFormat="1" ht="12.75" customHeight="1" x14ac:dyDescent="0.25"/>
    <row r="558" s="85" customFormat="1" ht="12.75" customHeight="1" x14ac:dyDescent="0.25"/>
    <row r="559" s="85" customFormat="1" ht="12.75" customHeight="1" x14ac:dyDescent="0.25"/>
    <row r="560" s="85" customFormat="1" ht="12.75" customHeight="1" x14ac:dyDescent="0.25"/>
    <row r="561" s="85" customFormat="1" ht="12.75" customHeight="1" x14ac:dyDescent="0.25"/>
    <row r="562" s="85" customFormat="1" ht="12.75" customHeight="1" x14ac:dyDescent="0.25"/>
    <row r="563" s="85" customFormat="1" ht="12.75" customHeight="1" x14ac:dyDescent="0.25"/>
    <row r="564" s="85" customFormat="1" ht="12.75" customHeight="1" x14ac:dyDescent="0.25"/>
    <row r="565" s="85" customFormat="1" ht="12.75" customHeight="1" x14ac:dyDescent="0.25"/>
    <row r="566" s="85" customFormat="1" ht="12.75" customHeight="1" x14ac:dyDescent="0.25"/>
    <row r="567" s="85" customFormat="1" ht="12.75" customHeight="1" x14ac:dyDescent="0.25"/>
    <row r="568" s="85" customFormat="1" ht="12.75" customHeight="1" x14ac:dyDescent="0.25"/>
    <row r="569" s="85" customFormat="1" ht="12.75" customHeight="1" x14ac:dyDescent="0.25"/>
    <row r="570" s="85" customFormat="1" ht="12.75" customHeight="1" x14ac:dyDescent="0.25"/>
    <row r="571" s="85" customFormat="1" ht="12.75" customHeight="1" x14ac:dyDescent="0.25"/>
    <row r="572" s="85" customFormat="1" ht="12.75" customHeight="1" x14ac:dyDescent="0.25"/>
    <row r="573" s="85" customFormat="1" ht="12.75" customHeight="1" x14ac:dyDescent="0.25"/>
    <row r="574" s="85" customFormat="1" ht="12.75" customHeight="1" x14ac:dyDescent="0.25"/>
    <row r="575" s="85" customFormat="1" ht="12.75" customHeight="1" x14ac:dyDescent="0.25"/>
    <row r="576" s="85" customFormat="1" ht="12.75" customHeight="1" x14ac:dyDescent="0.25"/>
    <row r="577" s="85" customFormat="1" ht="12.75" customHeight="1" x14ac:dyDescent="0.25"/>
    <row r="578" s="85" customFormat="1" ht="12.75" customHeight="1" x14ac:dyDescent="0.25"/>
    <row r="579" s="85" customFormat="1" ht="12.75" customHeight="1" x14ac:dyDescent="0.25"/>
    <row r="580" s="85" customFormat="1" ht="12.75" customHeight="1" x14ac:dyDescent="0.25"/>
    <row r="581" s="85" customFormat="1" ht="12.75" customHeight="1" x14ac:dyDescent="0.25"/>
    <row r="582" s="85" customFormat="1" ht="12.75" customHeight="1" x14ac:dyDescent="0.25"/>
    <row r="583" s="85" customFormat="1" ht="12.75" customHeight="1" x14ac:dyDescent="0.25"/>
    <row r="584" s="85" customFormat="1" ht="12.75" customHeight="1" x14ac:dyDescent="0.25"/>
    <row r="585" s="85" customFormat="1" ht="12.75" customHeight="1" x14ac:dyDescent="0.25"/>
    <row r="586" s="85" customFormat="1" ht="12.75" customHeight="1" x14ac:dyDescent="0.25"/>
    <row r="587" s="85" customFormat="1" ht="12.75" customHeight="1" x14ac:dyDescent="0.25"/>
    <row r="588" s="85" customFormat="1" ht="12.75" customHeight="1" x14ac:dyDescent="0.25"/>
    <row r="589" s="85" customFormat="1" ht="12.75" customHeight="1" x14ac:dyDescent="0.25"/>
    <row r="590" s="85" customFormat="1" ht="12.75" customHeight="1" x14ac:dyDescent="0.25"/>
    <row r="591" s="85" customFormat="1" ht="12.75" customHeight="1" x14ac:dyDescent="0.25"/>
    <row r="592" s="85" customFormat="1" ht="12.75" customHeight="1" x14ac:dyDescent="0.25"/>
    <row r="593" s="85" customFormat="1" ht="12.75" customHeight="1" x14ac:dyDescent="0.25"/>
    <row r="594" s="85" customFormat="1" ht="12.75" customHeight="1" x14ac:dyDescent="0.25"/>
    <row r="595" s="85" customFormat="1" ht="12.75" customHeight="1" x14ac:dyDescent="0.25"/>
    <row r="596" s="85" customFormat="1" ht="12.75" customHeight="1" x14ac:dyDescent="0.25"/>
    <row r="597" s="85" customFormat="1" ht="12.75" customHeight="1" x14ac:dyDescent="0.25"/>
    <row r="598" s="85" customFormat="1" ht="12.75" customHeight="1" x14ac:dyDescent="0.25"/>
    <row r="599" s="85" customFormat="1" ht="12.75" customHeight="1" x14ac:dyDescent="0.25"/>
    <row r="600" s="85" customFormat="1" ht="12.75" customHeight="1" x14ac:dyDescent="0.25"/>
    <row r="601" s="85" customFormat="1" ht="12.75" customHeight="1" x14ac:dyDescent="0.25"/>
    <row r="602" s="85" customFormat="1" ht="12.75" customHeight="1" x14ac:dyDescent="0.25"/>
    <row r="603" s="85" customFormat="1" ht="12.75" customHeight="1" x14ac:dyDescent="0.25"/>
    <row r="604" s="85" customFormat="1" ht="12.75" customHeight="1" x14ac:dyDescent="0.25"/>
    <row r="605" s="85" customFormat="1" ht="12.75" customHeight="1" x14ac:dyDescent="0.25"/>
    <row r="606" s="85" customFormat="1" ht="12.75" customHeight="1" x14ac:dyDescent="0.25"/>
    <row r="607" s="85" customFormat="1" ht="12.75" customHeight="1" x14ac:dyDescent="0.25"/>
    <row r="608" s="85" customFormat="1" ht="12.75" customHeight="1" x14ac:dyDescent="0.25"/>
    <row r="609" s="85" customFormat="1" ht="12.75" customHeight="1" x14ac:dyDescent="0.25"/>
    <row r="610" s="85" customFormat="1" ht="12.75" customHeight="1" x14ac:dyDescent="0.25"/>
    <row r="611" s="85" customFormat="1" ht="12.75" customHeight="1" x14ac:dyDescent="0.25"/>
    <row r="612" s="85" customFormat="1" ht="12.75" customHeight="1" x14ac:dyDescent="0.25"/>
    <row r="613" s="85" customFormat="1" ht="12.75" customHeight="1" x14ac:dyDescent="0.25"/>
    <row r="614" s="85" customFormat="1" ht="12.75" customHeight="1" x14ac:dyDescent="0.25"/>
    <row r="615" s="85" customFormat="1" ht="12.75" customHeight="1" x14ac:dyDescent="0.25"/>
    <row r="616" s="85" customFormat="1" ht="12.75" customHeight="1" x14ac:dyDescent="0.25"/>
    <row r="617" s="85" customFormat="1" ht="12.75" customHeight="1" x14ac:dyDescent="0.25"/>
    <row r="618" s="85" customFormat="1" ht="12.75" customHeight="1" x14ac:dyDescent="0.25"/>
    <row r="619" s="85" customFormat="1" ht="12.75" customHeight="1" x14ac:dyDescent="0.25"/>
    <row r="620" s="85" customFormat="1" ht="12.75" customHeight="1" x14ac:dyDescent="0.25"/>
    <row r="621" s="85" customFormat="1" ht="12.75" customHeight="1" x14ac:dyDescent="0.25"/>
    <row r="622" s="85" customFormat="1" ht="12.75" customHeight="1" x14ac:dyDescent="0.25"/>
    <row r="623" s="85" customFormat="1" ht="12.75" customHeight="1" x14ac:dyDescent="0.25"/>
    <row r="624" s="85" customFormat="1" ht="12.75" customHeight="1" x14ac:dyDescent="0.25"/>
    <row r="625" s="85" customFormat="1" ht="12.75" customHeight="1" x14ac:dyDescent="0.25"/>
    <row r="626" s="85" customFormat="1" ht="12.75" customHeight="1" x14ac:dyDescent="0.25"/>
    <row r="627" s="85" customFormat="1" ht="12.75" customHeight="1" x14ac:dyDescent="0.25"/>
    <row r="628" s="85" customFormat="1" ht="12.75" customHeight="1" x14ac:dyDescent="0.25"/>
    <row r="629" s="85" customFormat="1" ht="12.75" customHeight="1" x14ac:dyDescent="0.25"/>
    <row r="630" s="85" customFormat="1" ht="12.75" customHeight="1" x14ac:dyDescent="0.25"/>
    <row r="631" s="85" customFormat="1" ht="12.75" customHeight="1" x14ac:dyDescent="0.25"/>
    <row r="632" s="85" customFormat="1" ht="12.75" customHeight="1" x14ac:dyDescent="0.25"/>
    <row r="633" s="85" customFormat="1" ht="12.75" customHeight="1" x14ac:dyDescent="0.25"/>
    <row r="634" s="85" customFormat="1" ht="12.75" customHeight="1" x14ac:dyDescent="0.25"/>
    <row r="635" s="85" customFormat="1" ht="12.75" customHeight="1" x14ac:dyDescent="0.25"/>
    <row r="636" s="85" customFormat="1" ht="12.75" customHeight="1" x14ac:dyDescent="0.25"/>
    <row r="637" s="85" customFormat="1" ht="12.75" customHeight="1" x14ac:dyDescent="0.25"/>
    <row r="638" s="85" customFormat="1" ht="12.75" customHeight="1" x14ac:dyDescent="0.25"/>
    <row r="639" s="85" customFormat="1" ht="12.75" customHeight="1" x14ac:dyDescent="0.25"/>
    <row r="640" s="85" customFormat="1" ht="12.75" customHeight="1" x14ac:dyDescent="0.25"/>
    <row r="641" s="85" customFormat="1" ht="12.75" customHeight="1" x14ac:dyDescent="0.25"/>
    <row r="642" s="85" customFormat="1" ht="12.75" customHeight="1" x14ac:dyDescent="0.25"/>
    <row r="643" s="85" customFormat="1" ht="12.75" customHeight="1" x14ac:dyDescent="0.25"/>
    <row r="644" s="85" customFormat="1" ht="12.75" customHeight="1" x14ac:dyDescent="0.25"/>
    <row r="645" s="85" customFormat="1" ht="12.75" customHeight="1" x14ac:dyDescent="0.25"/>
    <row r="646" s="85" customFormat="1" ht="12.75" customHeight="1" x14ac:dyDescent="0.25"/>
    <row r="647" s="85" customFormat="1" ht="12.75" customHeight="1" x14ac:dyDescent="0.25"/>
    <row r="648" s="85" customFormat="1" ht="12.75" customHeight="1" x14ac:dyDescent="0.25"/>
    <row r="649" s="85" customFormat="1" ht="12.75" customHeight="1" x14ac:dyDescent="0.25"/>
    <row r="650" s="85" customFormat="1" ht="12.75" customHeight="1" x14ac:dyDescent="0.25"/>
    <row r="651" s="85" customFormat="1" ht="12.75" customHeight="1" x14ac:dyDescent="0.25"/>
    <row r="652" s="85" customFormat="1" ht="12.75" customHeight="1" x14ac:dyDescent="0.25"/>
    <row r="653" s="85" customFormat="1" ht="12.75" customHeight="1" x14ac:dyDescent="0.25"/>
    <row r="654" s="85" customFormat="1" ht="12.75" customHeight="1" x14ac:dyDescent="0.25"/>
    <row r="655" s="85" customFormat="1" ht="12.75" customHeight="1" x14ac:dyDescent="0.25"/>
    <row r="656" s="85" customFormat="1" ht="12.75" customHeight="1" x14ac:dyDescent="0.25"/>
    <row r="657" s="85" customFormat="1" ht="12.75" customHeight="1" x14ac:dyDescent="0.25"/>
    <row r="658" s="85" customFormat="1" ht="12.75" customHeight="1" x14ac:dyDescent="0.25"/>
    <row r="659" s="85" customFormat="1" ht="12.75" customHeight="1" x14ac:dyDescent="0.25"/>
    <row r="660" s="85" customFormat="1" ht="12.75" customHeight="1" x14ac:dyDescent="0.25"/>
    <row r="661" s="85" customFormat="1" ht="12.75" customHeight="1" x14ac:dyDescent="0.25"/>
    <row r="662" s="85" customFormat="1" ht="12.75" customHeight="1" x14ac:dyDescent="0.25"/>
    <row r="663" s="85" customFormat="1" ht="12.75" customHeight="1" x14ac:dyDescent="0.25"/>
    <row r="664" s="85" customFormat="1" ht="12.75" customHeight="1" x14ac:dyDescent="0.25"/>
    <row r="665" s="85" customFormat="1" ht="12.75" customHeight="1" x14ac:dyDescent="0.25"/>
    <row r="666" s="85" customFormat="1" ht="12.75" customHeight="1" x14ac:dyDescent="0.25"/>
    <row r="667" s="85" customFormat="1" ht="12.75" customHeight="1" x14ac:dyDescent="0.25"/>
    <row r="668" s="85" customFormat="1" ht="12.75" customHeight="1" x14ac:dyDescent="0.25"/>
    <row r="669" s="85" customFormat="1" ht="12.75" customHeight="1" x14ac:dyDescent="0.25"/>
    <row r="670" s="85" customFormat="1" ht="12.75" customHeight="1" x14ac:dyDescent="0.25"/>
    <row r="671" s="85" customFormat="1" ht="12.75" customHeight="1" x14ac:dyDescent="0.25"/>
    <row r="672" s="85" customFormat="1" ht="12.75" customHeight="1" x14ac:dyDescent="0.25"/>
    <row r="673" s="85" customFormat="1" ht="12.75" customHeight="1" x14ac:dyDescent="0.25"/>
    <row r="674" s="85" customFormat="1" ht="12.75" customHeight="1" x14ac:dyDescent="0.25"/>
    <row r="675" s="85" customFormat="1" ht="12.75" customHeight="1" x14ac:dyDescent="0.25"/>
    <row r="676" s="85" customFormat="1" ht="12.75" customHeight="1" x14ac:dyDescent="0.25"/>
    <row r="677" s="85" customFormat="1" ht="12.75" customHeight="1" x14ac:dyDescent="0.25"/>
    <row r="678" s="85" customFormat="1" ht="12.75" customHeight="1" x14ac:dyDescent="0.25"/>
    <row r="679" s="85" customFormat="1" ht="12.75" customHeight="1" x14ac:dyDescent="0.25"/>
    <row r="680" s="85" customFormat="1" ht="12.75" customHeight="1" x14ac:dyDescent="0.25"/>
    <row r="681" s="85" customFormat="1" ht="12.75" customHeight="1" x14ac:dyDescent="0.25"/>
    <row r="682" s="85" customFormat="1" ht="12.75" customHeight="1" x14ac:dyDescent="0.25"/>
    <row r="683" s="85" customFormat="1" ht="12.75" customHeight="1" x14ac:dyDescent="0.25"/>
    <row r="684" s="85" customFormat="1" ht="12.75" customHeight="1" x14ac:dyDescent="0.25"/>
    <row r="685" s="85" customFormat="1" ht="12.75" customHeight="1" x14ac:dyDescent="0.25"/>
    <row r="686" s="85" customFormat="1" ht="12.75" customHeight="1" x14ac:dyDescent="0.25"/>
    <row r="687" s="85" customFormat="1" ht="12.75" customHeight="1" x14ac:dyDescent="0.25"/>
    <row r="688" s="85" customFormat="1" ht="12.75" customHeight="1" x14ac:dyDescent="0.25"/>
    <row r="689" s="85" customFormat="1" ht="12.75" customHeight="1" x14ac:dyDescent="0.25"/>
    <row r="690" s="85" customFormat="1" ht="12.75" customHeight="1" x14ac:dyDescent="0.25"/>
    <row r="691" s="85" customFormat="1" ht="12.75" customHeight="1" x14ac:dyDescent="0.25"/>
    <row r="692" s="85" customFormat="1" ht="12.75" customHeight="1" x14ac:dyDescent="0.25"/>
    <row r="693" s="85" customFormat="1" ht="12.75" customHeight="1" x14ac:dyDescent="0.25"/>
    <row r="694" s="85" customFormat="1" ht="12.75" customHeight="1" x14ac:dyDescent="0.25"/>
    <row r="695" s="85" customFormat="1" ht="12.75" customHeight="1" x14ac:dyDescent="0.25"/>
    <row r="696" s="85" customFormat="1" ht="12.75" customHeight="1" x14ac:dyDescent="0.25"/>
    <row r="697" s="85" customFormat="1" ht="12.75" customHeight="1" x14ac:dyDescent="0.25"/>
    <row r="698" s="85" customFormat="1" ht="12.75" customHeight="1" x14ac:dyDescent="0.25"/>
    <row r="699" s="85" customFormat="1" ht="12.75" customHeight="1" x14ac:dyDescent="0.25"/>
    <row r="700" s="85" customFormat="1" ht="12.75" customHeight="1" x14ac:dyDescent="0.25"/>
    <row r="701" s="85" customFormat="1" ht="12.75" customHeight="1" x14ac:dyDescent="0.25"/>
    <row r="702" s="85" customFormat="1" ht="12.75" customHeight="1" x14ac:dyDescent="0.25"/>
    <row r="703" s="85" customFormat="1" ht="12.75" customHeight="1" x14ac:dyDescent="0.25"/>
    <row r="704" s="85" customFormat="1" ht="12.75" customHeight="1" x14ac:dyDescent="0.25"/>
    <row r="705" s="85" customFormat="1" ht="12.75" customHeight="1" x14ac:dyDescent="0.25"/>
    <row r="706" s="85" customFormat="1" ht="12.75" customHeight="1" x14ac:dyDescent="0.25"/>
    <row r="707" s="85" customFormat="1" ht="12.75" customHeight="1" x14ac:dyDescent="0.25"/>
    <row r="708" s="85" customFormat="1" ht="12.75" customHeight="1" x14ac:dyDescent="0.25"/>
    <row r="709" s="85" customFormat="1" ht="12.75" customHeight="1" x14ac:dyDescent="0.25"/>
    <row r="710" s="85" customFormat="1" ht="12.75" customHeight="1" x14ac:dyDescent="0.25"/>
    <row r="711" s="85" customFormat="1" ht="12.75" customHeight="1" x14ac:dyDescent="0.25"/>
    <row r="712" s="85" customFormat="1" ht="12.75" customHeight="1" x14ac:dyDescent="0.25"/>
    <row r="713" s="85" customFormat="1" ht="12.75" customHeight="1" x14ac:dyDescent="0.25"/>
    <row r="714" s="85" customFormat="1" ht="12.75" customHeight="1" x14ac:dyDescent="0.25"/>
    <row r="715" s="85" customFormat="1" ht="12.75" customHeight="1" x14ac:dyDescent="0.25"/>
    <row r="716" s="85" customFormat="1" ht="12.75" customHeight="1" x14ac:dyDescent="0.25"/>
    <row r="717" s="85" customFormat="1" ht="12.75" customHeight="1" x14ac:dyDescent="0.25"/>
    <row r="718" s="85" customFormat="1" ht="12.75" customHeight="1" x14ac:dyDescent="0.25"/>
    <row r="719" s="85" customFormat="1" ht="12.75" customHeight="1" x14ac:dyDescent="0.25"/>
    <row r="720" s="85" customFormat="1" ht="12.75" customHeight="1" x14ac:dyDescent="0.25"/>
    <row r="721" s="85" customFormat="1" ht="12.75" customHeight="1" x14ac:dyDescent="0.25"/>
    <row r="722" s="85" customFormat="1" ht="12.75" customHeight="1" x14ac:dyDescent="0.25"/>
    <row r="723" s="85" customFormat="1" ht="12.75" customHeight="1" x14ac:dyDescent="0.25"/>
    <row r="724" s="85" customFormat="1" ht="12.75" customHeight="1" x14ac:dyDescent="0.25"/>
    <row r="725" s="85" customFormat="1" ht="12.75" customHeight="1" x14ac:dyDescent="0.25"/>
    <row r="726" s="85" customFormat="1" ht="12.75" customHeight="1" x14ac:dyDescent="0.25"/>
    <row r="727" s="85" customFormat="1" ht="12.75" customHeight="1" x14ac:dyDescent="0.25"/>
    <row r="728" s="85" customFormat="1" ht="12.75" customHeight="1" x14ac:dyDescent="0.25"/>
    <row r="729" s="85" customFormat="1" ht="12.75" customHeight="1" x14ac:dyDescent="0.25"/>
    <row r="730" s="85" customFormat="1" ht="12.75" customHeight="1" x14ac:dyDescent="0.25"/>
    <row r="731" s="85" customFormat="1" ht="12.75" customHeight="1" x14ac:dyDescent="0.25"/>
    <row r="732" s="85" customFormat="1" ht="12.75" customHeight="1" x14ac:dyDescent="0.25"/>
    <row r="733" s="85" customFormat="1" ht="12.75" customHeight="1" x14ac:dyDescent="0.25"/>
    <row r="734" s="85" customFormat="1" ht="12.75" customHeight="1" x14ac:dyDescent="0.25"/>
    <row r="735" s="85" customFormat="1" ht="12.75" customHeight="1" x14ac:dyDescent="0.25"/>
    <row r="736" s="85" customFormat="1" ht="12.75" customHeight="1" x14ac:dyDescent="0.25"/>
    <row r="737" s="85" customFormat="1" ht="12.75" customHeight="1" x14ac:dyDescent="0.25"/>
    <row r="738" s="85" customFormat="1" ht="12.75" customHeight="1" x14ac:dyDescent="0.25"/>
    <row r="739" s="85" customFormat="1" ht="12.75" customHeight="1" x14ac:dyDescent="0.25"/>
    <row r="740" s="85" customFormat="1" ht="12.75" customHeight="1" x14ac:dyDescent="0.25"/>
    <row r="741" s="85" customFormat="1" ht="12.75" customHeight="1" x14ac:dyDescent="0.25"/>
    <row r="742" s="85" customFormat="1" ht="12.75" customHeight="1" x14ac:dyDescent="0.25"/>
    <row r="743" s="85" customFormat="1" ht="12.75" customHeight="1" x14ac:dyDescent="0.25"/>
    <row r="744" s="85" customFormat="1" ht="12.75" customHeight="1" x14ac:dyDescent="0.25"/>
    <row r="745" s="85" customFormat="1" ht="12.75" customHeight="1" x14ac:dyDescent="0.25"/>
    <row r="746" s="85" customFormat="1" ht="12.75" customHeight="1" x14ac:dyDescent="0.25"/>
    <row r="747" s="85" customFormat="1" ht="12.75" customHeight="1" x14ac:dyDescent="0.25"/>
    <row r="748" s="85" customFormat="1" ht="12.75" customHeight="1" x14ac:dyDescent="0.25"/>
    <row r="749" s="85" customFormat="1" ht="12.75" customHeight="1" x14ac:dyDescent="0.25"/>
    <row r="750" s="85" customFormat="1" ht="12.75" customHeight="1" x14ac:dyDescent="0.25"/>
    <row r="751" s="85" customFormat="1" ht="12.75" customHeight="1" x14ac:dyDescent="0.25"/>
    <row r="752" s="85" customFormat="1" ht="12.75" customHeight="1" x14ac:dyDescent="0.25"/>
    <row r="753" s="85" customFormat="1" ht="12.75" customHeight="1" x14ac:dyDescent="0.25"/>
    <row r="754" s="85" customFormat="1" ht="12.75" customHeight="1" x14ac:dyDescent="0.25"/>
    <row r="755" s="85" customFormat="1" ht="12.75" customHeight="1" x14ac:dyDescent="0.25"/>
    <row r="756" s="85" customFormat="1" ht="12.75" customHeight="1" x14ac:dyDescent="0.25"/>
    <row r="757" s="85" customFormat="1" ht="12.75" customHeight="1" x14ac:dyDescent="0.25"/>
    <row r="758" s="85" customFormat="1" ht="12.75" customHeight="1" x14ac:dyDescent="0.25"/>
    <row r="759" s="85" customFormat="1" ht="12.75" customHeight="1" x14ac:dyDescent="0.25"/>
    <row r="760" s="85" customFormat="1" ht="12.75" customHeight="1" x14ac:dyDescent="0.25"/>
    <row r="761" s="85" customFormat="1" ht="12.75" customHeight="1" x14ac:dyDescent="0.25"/>
    <row r="762" s="85" customFormat="1" ht="12.75" customHeight="1" x14ac:dyDescent="0.25"/>
    <row r="763" s="85" customFormat="1" ht="12.75" customHeight="1" x14ac:dyDescent="0.25"/>
    <row r="764" s="85" customFormat="1" ht="12.75" customHeight="1" x14ac:dyDescent="0.25"/>
    <row r="765" s="85" customFormat="1" ht="12.75" customHeight="1" x14ac:dyDescent="0.25"/>
    <row r="766" s="85" customFormat="1" ht="12.75" customHeight="1" x14ac:dyDescent="0.25"/>
    <row r="767" s="85" customFormat="1" ht="12.75" customHeight="1" x14ac:dyDescent="0.25"/>
    <row r="768" s="85" customFormat="1" ht="12.75" customHeight="1" x14ac:dyDescent="0.25"/>
    <row r="769" s="85" customFormat="1" ht="12.75" customHeight="1" x14ac:dyDescent="0.25"/>
    <row r="770" s="85" customFormat="1" ht="12.75" customHeight="1" x14ac:dyDescent="0.25"/>
    <row r="771" s="85" customFormat="1" ht="12.75" customHeight="1" x14ac:dyDescent="0.25"/>
    <row r="772" s="85" customFormat="1" ht="12.75" customHeight="1" x14ac:dyDescent="0.25"/>
    <row r="773" s="85" customFormat="1" ht="12.75" customHeight="1" x14ac:dyDescent="0.25"/>
    <row r="774" s="85" customFormat="1" ht="12.75" customHeight="1" x14ac:dyDescent="0.25"/>
    <row r="775" s="85" customFormat="1" ht="12.75" customHeight="1" x14ac:dyDescent="0.25"/>
    <row r="776" s="85" customFormat="1" ht="12.75" customHeight="1" x14ac:dyDescent="0.25"/>
    <row r="777" s="85" customFormat="1" ht="12.75" customHeight="1" x14ac:dyDescent="0.25"/>
    <row r="778" s="85" customFormat="1" ht="12.75" customHeight="1" x14ac:dyDescent="0.25"/>
    <row r="779" s="85" customFormat="1" ht="12.75" customHeight="1" x14ac:dyDescent="0.25"/>
    <row r="780" s="85" customFormat="1" ht="12.75" customHeight="1" x14ac:dyDescent="0.25"/>
    <row r="781" s="85" customFormat="1" ht="12.75" customHeight="1" x14ac:dyDescent="0.25"/>
    <row r="782" s="85" customFormat="1" ht="12.75" customHeight="1" x14ac:dyDescent="0.25"/>
    <row r="783" s="85" customFormat="1" ht="12.75" customHeight="1" x14ac:dyDescent="0.25"/>
    <row r="784" s="85" customFormat="1" ht="12.75" customHeight="1" x14ac:dyDescent="0.25"/>
    <row r="785" s="85" customFormat="1" ht="12.75" customHeight="1" x14ac:dyDescent="0.25"/>
    <row r="786" s="85" customFormat="1" ht="12.75" customHeight="1" x14ac:dyDescent="0.25"/>
    <row r="787" s="85" customFormat="1" ht="12.75" customHeight="1" x14ac:dyDescent="0.25"/>
    <row r="788" s="85" customFormat="1" ht="12.75" customHeight="1" x14ac:dyDescent="0.25"/>
    <row r="789" s="85" customFormat="1" ht="12.75" customHeight="1" x14ac:dyDescent="0.25"/>
    <row r="790" s="85" customFormat="1" ht="12.75" customHeight="1" x14ac:dyDescent="0.25"/>
    <row r="791" s="85" customFormat="1" ht="12.75" customHeight="1" x14ac:dyDescent="0.25"/>
    <row r="792" s="85" customFormat="1" ht="12.75" customHeight="1" x14ac:dyDescent="0.25"/>
    <row r="793" s="85" customFormat="1" ht="12.75" customHeight="1" x14ac:dyDescent="0.25"/>
    <row r="794" s="85" customFormat="1" ht="12.75" customHeight="1" x14ac:dyDescent="0.25"/>
    <row r="795" s="85" customFormat="1" ht="12.75" customHeight="1" x14ac:dyDescent="0.25"/>
    <row r="796" s="85" customFormat="1" ht="12.75" customHeight="1" x14ac:dyDescent="0.25"/>
    <row r="797" s="85" customFormat="1" ht="12.75" customHeight="1" x14ac:dyDescent="0.25"/>
    <row r="798" s="85" customFormat="1" ht="12.75" customHeight="1" x14ac:dyDescent="0.25"/>
    <row r="799" s="85" customFormat="1" ht="12.75" customHeight="1" x14ac:dyDescent="0.25"/>
    <row r="800" s="85" customFormat="1" ht="12.75" customHeight="1" x14ac:dyDescent="0.25"/>
    <row r="801" s="85" customFormat="1" ht="12.75" customHeight="1" x14ac:dyDescent="0.25"/>
    <row r="802" s="85" customFormat="1" ht="12.75" customHeight="1" x14ac:dyDescent="0.25"/>
    <row r="803" s="85" customFormat="1" ht="12.75" customHeight="1" x14ac:dyDescent="0.25"/>
    <row r="804" s="85" customFormat="1" ht="12.75" customHeight="1" x14ac:dyDescent="0.25"/>
    <row r="805" s="85" customFormat="1" ht="12.75" customHeight="1" x14ac:dyDescent="0.25"/>
    <row r="806" s="85" customFormat="1" ht="12.75" customHeight="1" x14ac:dyDescent="0.25"/>
    <row r="807" s="85" customFormat="1" ht="12.75" customHeight="1" x14ac:dyDescent="0.25"/>
    <row r="808" s="85" customFormat="1" ht="12.75" customHeight="1" x14ac:dyDescent="0.25"/>
    <row r="809" s="85" customFormat="1" ht="12.75" customHeight="1" x14ac:dyDescent="0.25"/>
    <row r="810" s="85" customFormat="1" ht="12.75" customHeight="1" x14ac:dyDescent="0.25"/>
    <row r="811" s="85" customFormat="1" ht="12.75" customHeight="1" x14ac:dyDescent="0.25"/>
    <row r="812" s="85" customFormat="1" ht="12.75" customHeight="1" x14ac:dyDescent="0.25"/>
    <row r="813" s="85" customFormat="1" ht="12.75" customHeight="1" x14ac:dyDescent="0.25"/>
    <row r="814" s="85" customFormat="1" ht="12.75" customHeight="1" x14ac:dyDescent="0.25"/>
    <row r="815" s="85" customFormat="1" ht="12.75" customHeight="1" x14ac:dyDescent="0.25"/>
    <row r="816" s="85" customFormat="1" ht="12.75" customHeight="1" x14ac:dyDescent="0.25"/>
    <row r="817" s="85" customFormat="1" ht="12.75" customHeight="1" x14ac:dyDescent="0.25"/>
    <row r="818" s="85" customFormat="1" ht="12.75" customHeight="1" x14ac:dyDescent="0.25"/>
    <row r="819" s="85" customFormat="1" ht="12.75" customHeight="1" x14ac:dyDescent="0.25"/>
    <row r="820" s="85" customFormat="1" ht="12.75" customHeight="1" x14ac:dyDescent="0.25"/>
    <row r="821" s="85" customFormat="1" ht="12.75" customHeight="1" x14ac:dyDescent="0.25"/>
    <row r="822" s="85" customFormat="1" ht="12.75" customHeight="1" x14ac:dyDescent="0.25"/>
    <row r="823" s="85" customFormat="1" ht="12.75" customHeight="1" x14ac:dyDescent="0.25"/>
    <row r="824" s="85" customFormat="1" ht="12.75" customHeight="1" x14ac:dyDescent="0.25"/>
    <row r="825" s="85" customFormat="1" ht="12.75" customHeight="1" x14ac:dyDescent="0.25"/>
    <row r="826" s="85" customFormat="1" ht="12.75" customHeight="1" x14ac:dyDescent="0.25"/>
    <row r="827" s="85" customFormat="1" ht="12.75" customHeight="1" x14ac:dyDescent="0.25"/>
    <row r="828" s="85" customFormat="1" ht="12.75" customHeight="1" x14ac:dyDescent="0.25"/>
    <row r="829" s="85" customFormat="1" ht="12.75" customHeight="1" x14ac:dyDescent="0.25"/>
    <row r="830" s="85" customFormat="1" ht="12.75" customHeight="1" x14ac:dyDescent="0.25"/>
    <row r="831" s="85" customFormat="1" ht="12.75" customHeight="1" x14ac:dyDescent="0.25"/>
    <row r="832" s="85" customFormat="1" ht="12.75" customHeight="1" x14ac:dyDescent="0.25"/>
    <row r="833" s="85" customFormat="1" ht="12.75" customHeight="1" x14ac:dyDescent="0.25"/>
    <row r="834" s="85" customFormat="1" ht="12.75" customHeight="1" x14ac:dyDescent="0.25"/>
    <row r="835" s="85" customFormat="1" ht="12.75" customHeight="1" x14ac:dyDescent="0.25"/>
    <row r="836" s="85" customFormat="1" ht="12.75" customHeight="1" x14ac:dyDescent="0.25"/>
    <row r="837" s="85" customFormat="1" ht="12.75" customHeight="1" x14ac:dyDescent="0.25"/>
    <row r="838" s="85" customFormat="1" ht="12.75" customHeight="1" x14ac:dyDescent="0.25"/>
    <row r="839" s="85" customFormat="1" ht="12.75" customHeight="1" x14ac:dyDescent="0.25"/>
    <row r="840" s="85" customFormat="1" ht="12.75" customHeight="1" x14ac:dyDescent="0.25"/>
    <row r="841" s="85" customFormat="1" ht="12.75" customHeight="1" x14ac:dyDescent="0.25"/>
    <row r="842" s="85" customFormat="1" ht="12.75" customHeight="1" x14ac:dyDescent="0.25"/>
    <row r="843" s="85" customFormat="1" ht="12.75" customHeight="1" x14ac:dyDescent="0.25"/>
    <row r="844" s="85" customFormat="1" ht="12.75" customHeight="1" x14ac:dyDescent="0.25"/>
    <row r="845" s="85" customFormat="1" ht="12.75" customHeight="1" x14ac:dyDescent="0.25"/>
    <row r="846" s="85" customFormat="1" ht="12.75" customHeight="1" x14ac:dyDescent="0.25"/>
    <row r="847" s="85" customFormat="1" ht="12.75" customHeight="1" x14ac:dyDescent="0.25"/>
    <row r="848" s="85" customFormat="1" ht="12.75" customHeight="1" x14ac:dyDescent="0.25"/>
    <row r="849" s="85" customFormat="1" ht="12.75" customHeight="1" x14ac:dyDescent="0.25"/>
    <row r="850" s="85" customFormat="1" ht="12.75" customHeight="1" x14ac:dyDescent="0.25"/>
    <row r="851" s="85" customFormat="1" ht="12.75" customHeight="1" x14ac:dyDescent="0.25"/>
    <row r="852" s="85" customFormat="1" ht="12.75" customHeight="1" x14ac:dyDescent="0.25"/>
    <row r="853" s="85" customFormat="1" ht="12.75" customHeight="1" x14ac:dyDescent="0.25"/>
    <row r="854" s="85" customFormat="1" ht="12.75" customHeight="1" x14ac:dyDescent="0.25"/>
    <row r="855" s="85" customFormat="1" ht="12.75" customHeight="1" x14ac:dyDescent="0.25"/>
    <row r="856" s="85" customFormat="1" ht="12.75" customHeight="1" x14ac:dyDescent="0.25"/>
    <row r="857" s="85" customFormat="1" ht="12.75" customHeight="1" x14ac:dyDescent="0.25"/>
    <row r="858" s="85" customFormat="1" ht="12.75" customHeight="1" x14ac:dyDescent="0.25"/>
    <row r="859" s="85" customFormat="1" ht="12.75" customHeight="1" x14ac:dyDescent="0.25"/>
    <row r="860" s="85" customFormat="1" ht="12.75" customHeight="1" x14ac:dyDescent="0.25"/>
    <row r="861" s="85" customFormat="1" ht="12.75" customHeight="1" x14ac:dyDescent="0.25"/>
    <row r="862" s="85" customFormat="1" ht="12.75" customHeight="1" x14ac:dyDescent="0.25"/>
    <row r="863" s="85" customFormat="1" ht="12.75" customHeight="1" x14ac:dyDescent="0.25"/>
    <row r="864" s="85" customFormat="1" ht="12.75" customHeight="1" x14ac:dyDescent="0.25"/>
    <row r="865" s="85" customFormat="1" ht="12.75" customHeight="1" x14ac:dyDescent="0.25"/>
    <row r="866" s="85" customFormat="1" ht="12.75" customHeight="1" x14ac:dyDescent="0.25"/>
    <row r="867" s="85" customFormat="1" ht="12.75" customHeight="1" x14ac:dyDescent="0.25"/>
    <row r="868" s="85" customFormat="1" ht="12.75" customHeight="1" x14ac:dyDescent="0.25"/>
    <row r="869" s="85" customFormat="1" ht="12.75" customHeight="1" x14ac:dyDescent="0.25"/>
    <row r="870" s="85" customFormat="1" ht="12.75" customHeight="1" x14ac:dyDescent="0.25"/>
    <row r="871" s="85" customFormat="1" ht="12.75" customHeight="1" x14ac:dyDescent="0.25"/>
    <row r="872" s="85" customFormat="1" ht="12.75" customHeight="1" x14ac:dyDescent="0.25"/>
    <row r="873" s="85" customFormat="1" ht="12.75" customHeight="1" x14ac:dyDescent="0.25"/>
    <row r="874" s="85" customFormat="1" ht="12.75" customHeight="1" x14ac:dyDescent="0.25"/>
    <row r="875" s="85" customFormat="1" ht="12.75" customHeight="1" x14ac:dyDescent="0.25"/>
    <row r="876" s="85" customFormat="1" ht="12.75" customHeight="1" x14ac:dyDescent="0.25"/>
    <row r="877" s="85" customFormat="1" ht="12.75" customHeight="1" x14ac:dyDescent="0.25"/>
    <row r="878" s="85" customFormat="1" ht="12.75" customHeight="1" x14ac:dyDescent="0.25"/>
    <row r="879" s="85" customFormat="1" ht="12.75" customHeight="1" x14ac:dyDescent="0.25"/>
    <row r="880" s="85" customFormat="1" ht="12.75" customHeight="1" x14ac:dyDescent="0.25"/>
    <row r="881" s="85" customFormat="1" ht="12.75" customHeight="1" x14ac:dyDescent="0.25"/>
    <row r="882" s="85" customFormat="1" ht="12.75" customHeight="1" x14ac:dyDescent="0.25"/>
    <row r="883" s="85" customFormat="1" ht="12.75" customHeight="1" x14ac:dyDescent="0.25"/>
    <row r="884" s="85" customFormat="1" ht="12.75" customHeight="1" x14ac:dyDescent="0.25"/>
    <row r="885" s="85" customFormat="1" ht="12.75" customHeight="1" x14ac:dyDescent="0.25"/>
    <row r="886" s="85" customFormat="1" ht="12.75" customHeight="1" x14ac:dyDescent="0.25"/>
    <row r="887" s="85" customFormat="1" ht="12.75" customHeight="1" x14ac:dyDescent="0.25"/>
    <row r="888" s="85" customFormat="1" ht="12.75" customHeight="1" x14ac:dyDescent="0.25"/>
    <row r="889" s="85" customFormat="1" ht="12.75" customHeight="1" x14ac:dyDescent="0.25"/>
    <row r="890" s="85" customFormat="1" ht="12.75" customHeight="1" x14ac:dyDescent="0.25"/>
    <row r="891" s="85" customFormat="1" ht="12.75" customHeight="1" x14ac:dyDescent="0.25"/>
    <row r="892" s="85" customFormat="1" ht="12.75" customHeight="1" x14ac:dyDescent="0.25"/>
    <row r="893" s="85" customFormat="1" ht="12.75" customHeight="1" x14ac:dyDescent="0.25"/>
    <row r="894" s="85" customFormat="1" ht="12.75" customHeight="1" x14ac:dyDescent="0.25"/>
    <row r="895" s="85" customFormat="1" ht="12.75" customHeight="1" x14ac:dyDescent="0.25"/>
    <row r="896" s="85" customFormat="1" ht="12.75" customHeight="1" x14ac:dyDescent="0.25"/>
    <row r="897" s="85" customFormat="1" ht="12.75" customHeight="1" x14ac:dyDescent="0.25"/>
    <row r="898" s="85" customFormat="1" ht="12.75" customHeight="1" x14ac:dyDescent="0.25"/>
    <row r="899" s="85" customFormat="1" ht="12.75" customHeight="1" x14ac:dyDescent="0.25"/>
    <row r="900" s="85" customFormat="1" ht="12.75" customHeight="1" x14ac:dyDescent="0.25"/>
    <row r="901" s="85" customFormat="1" ht="12.75" customHeight="1" x14ac:dyDescent="0.25"/>
    <row r="902" s="85" customFormat="1" ht="12.75" customHeight="1" x14ac:dyDescent="0.25"/>
    <row r="903" s="85" customFormat="1" ht="12.75" customHeight="1" x14ac:dyDescent="0.25"/>
    <row r="904" s="85" customFormat="1" ht="12.75" customHeight="1" x14ac:dyDescent="0.25"/>
    <row r="905" s="85" customFormat="1" ht="12.75" customHeight="1" x14ac:dyDescent="0.25"/>
    <row r="906" s="85" customFormat="1" ht="12.75" customHeight="1" x14ac:dyDescent="0.25"/>
    <row r="907" s="85" customFormat="1" ht="12.75" customHeight="1" x14ac:dyDescent="0.25"/>
    <row r="908" s="85" customFormat="1" ht="12.75" customHeight="1" x14ac:dyDescent="0.25"/>
    <row r="909" s="85" customFormat="1" ht="12.75" customHeight="1" x14ac:dyDescent="0.25"/>
    <row r="910" s="85" customFormat="1" ht="12.75" customHeight="1" x14ac:dyDescent="0.25"/>
    <row r="911" s="85" customFormat="1" ht="12.75" customHeight="1" x14ac:dyDescent="0.25"/>
    <row r="912" s="85" customFormat="1" ht="12.75" customHeight="1" x14ac:dyDescent="0.25"/>
    <row r="913" s="85" customFormat="1" ht="12.75" customHeight="1" x14ac:dyDescent="0.25"/>
    <row r="914" s="85" customFormat="1" ht="12.75" customHeight="1" x14ac:dyDescent="0.25"/>
    <row r="915" s="85" customFormat="1" ht="12.75" customHeight="1" x14ac:dyDescent="0.25"/>
    <row r="916" s="85" customFormat="1" ht="12.75" customHeight="1" x14ac:dyDescent="0.25"/>
    <row r="917" s="85" customFormat="1" ht="12.75" customHeight="1" x14ac:dyDescent="0.25"/>
    <row r="918" s="85" customFormat="1" ht="12.75" customHeight="1" x14ac:dyDescent="0.25"/>
    <row r="919" s="85" customFormat="1" ht="12.75" customHeight="1" x14ac:dyDescent="0.25"/>
    <row r="920" s="85" customFormat="1" ht="12.75" customHeight="1" x14ac:dyDescent="0.25"/>
    <row r="921" s="85" customFormat="1" ht="12.75" customHeight="1" x14ac:dyDescent="0.25"/>
    <row r="922" s="85" customFormat="1" ht="12.75" customHeight="1" x14ac:dyDescent="0.25"/>
    <row r="923" s="85" customFormat="1" ht="12.75" customHeight="1" x14ac:dyDescent="0.25"/>
    <row r="924" s="85" customFormat="1" ht="12.75" customHeight="1" x14ac:dyDescent="0.25"/>
    <row r="925" s="85" customFormat="1" ht="12.75" customHeight="1" x14ac:dyDescent="0.25"/>
    <row r="926" s="85" customFormat="1" ht="12.75" customHeight="1" x14ac:dyDescent="0.25"/>
    <row r="927" s="85" customFormat="1" ht="12.75" customHeight="1" x14ac:dyDescent="0.25"/>
    <row r="928" s="85" customFormat="1" ht="12.75" customHeight="1" x14ac:dyDescent="0.25"/>
    <row r="929" s="85" customFormat="1" ht="12.75" customHeight="1" x14ac:dyDescent="0.25"/>
    <row r="930" s="85" customFormat="1" ht="12.75" customHeight="1" x14ac:dyDescent="0.25"/>
    <row r="931" s="85" customFormat="1" ht="12.75" customHeight="1" x14ac:dyDescent="0.25"/>
    <row r="932" s="85" customFormat="1" ht="12.75" customHeight="1" x14ac:dyDescent="0.25"/>
    <row r="933" s="85" customFormat="1" ht="12.75" customHeight="1" x14ac:dyDescent="0.25"/>
    <row r="934" s="85" customFormat="1" ht="12.75" customHeight="1" x14ac:dyDescent="0.25"/>
    <row r="935" s="85" customFormat="1" ht="12.75" customHeight="1" x14ac:dyDescent="0.25"/>
    <row r="936" s="85" customFormat="1" ht="12.75" customHeight="1" x14ac:dyDescent="0.25"/>
    <row r="937" s="85" customFormat="1" ht="12.75" customHeight="1" x14ac:dyDescent="0.25"/>
    <row r="938" s="85" customFormat="1" ht="12.75" customHeight="1" x14ac:dyDescent="0.25"/>
    <row r="939" s="85" customFormat="1" ht="12.75" customHeight="1" x14ac:dyDescent="0.25"/>
    <row r="940" s="85" customFormat="1" ht="12.75" customHeight="1" x14ac:dyDescent="0.25"/>
    <row r="941" s="85" customFormat="1" ht="12.75" customHeight="1" x14ac:dyDescent="0.25"/>
    <row r="942" s="85" customFormat="1" ht="12.75" customHeight="1" x14ac:dyDescent="0.25"/>
    <row r="943" s="85" customFormat="1" ht="12.75" customHeight="1" x14ac:dyDescent="0.25"/>
    <row r="944" s="85" customFormat="1" ht="12.75" customHeight="1" x14ac:dyDescent="0.25"/>
    <row r="945" s="85" customFormat="1" ht="12.75" customHeight="1" x14ac:dyDescent="0.25"/>
    <row r="946" s="85" customFormat="1" ht="12.75" customHeight="1" x14ac:dyDescent="0.25"/>
    <row r="947" s="85" customFormat="1" ht="12.75" customHeight="1" x14ac:dyDescent="0.25"/>
    <row r="948" s="85" customFormat="1" ht="12.75" customHeight="1" x14ac:dyDescent="0.25"/>
    <row r="949" s="85" customFormat="1" ht="12.75" customHeight="1" x14ac:dyDescent="0.25"/>
    <row r="950" s="85" customFormat="1" ht="12.75" customHeight="1" x14ac:dyDescent="0.25"/>
    <row r="951" s="85" customFormat="1" ht="12.75" customHeight="1" x14ac:dyDescent="0.25"/>
    <row r="952" s="85" customFormat="1" ht="12.75" customHeight="1" x14ac:dyDescent="0.25"/>
    <row r="953" s="85" customFormat="1" ht="12.75" customHeight="1" x14ac:dyDescent="0.25"/>
    <row r="954" s="85" customFormat="1" ht="12.75" customHeight="1" x14ac:dyDescent="0.25"/>
    <row r="955" s="85" customFormat="1" ht="12.75" customHeight="1" x14ac:dyDescent="0.25"/>
    <row r="956" s="85" customFormat="1" ht="12.75" customHeight="1" x14ac:dyDescent="0.25"/>
    <row r="957" s="85" customFormat="1" ht="12.75" customHeight="1" x14ac:dyDescent="0.25"/>
    <row r="958" s="85" customFormat="1" ht="12.75" customHeight="1" x14ac:dyDescent="0.25"/>
    <row r="959" s="85" customFormat="1" ht="12.75" customHeight="1" x14ac:dyDescent="0.25"/>
    <row r="960" s="85" customFormat="1" ht="12.75" customHeight="1" x14ac:dyDescent="0.25"/>
    <row r="961" s="85" customFormat="1" ht="12.75" customHeight="1" x14ac:dyDescent="0.25"/>
    <row r="962" s="85" customFormat="1" ht="12.75" customHeight="1" x14ac:dyDescent="0.25"/>
    <row r="963" s="85" customFormat="1" ht="12.75" customHeight="1" x14ac:dyDescent="0.25"/>
    <row r="964" s="85" customFormat="1" ht="12.75" customHeight="1" x14ac:dyDescent="0.25"/>
    <row r="965" s="85" customFormat="1" ht="12.75" customHeight="1" x14ac:dyDescent="0.25"/>
    <row r="966" s="85" customFormat="1" ht="12.75" customHeight="1" x14ac:dyDescent="0.25"/>
    <row r="967" s="85" customFormat="1" ht="12.75" customHeight="1" x14ac:dyDescent="0.25"/>
    <row r="968" s="85" customFormat="1" ht="12.75" customHeight="1" x14ac:dyDescent="0.25"/>
    <row r="969" s="85" customFormat="1" ht="12.75" customHeight="1" x14ac:dyDescent="0.25"/>
    <row r="970" s="85" customFormat="1" ht="12.75" customHeight="1" x14ac:dyDescent="0.25"/>
    <row r="971" s="85" customFormat="1" ht="12.75" customHeight="1" x14ac:dyDescent="0.25"/>
    <row r="972" s="85" customFormat="1" ht="12.75" customHeight="1" x14ac:dyDescent="0.25"/>
    <row r="973" s="85" customFormat="1" ht="12.75" customHeight="1" x14ac:dyDescent="0.25"/>
    <row r="974" s="85" customFormat="1" ht="12.75" customHeight="1" x14ac:dyDescent="0.25"/>
    <row r="975" s="85" customFormat="1" ht="12.75" customHeight="1" x14ac:dyDescent="0.25"/>
    <row r="976" s="85" customFormat="1" ht="12.75" customHeight="1" x14ac:dyDescent="0.25"/>
    <row r="977" s="85" customFormat="1" ht="12.75" customHeight="1" x14ac:dyDescent="0.25"/>
    <row r="978" s="85" customFormat="1" ht="12.75" customHeight="1" x14ac:dyDescent="0.25"/>
    <row r="979" s="85" customFormat="1" ht="12.75" customHeight="1" x14ac:dyDescent="0.25"/>
    <row r="980" s="85" customFormat="1" ht="12.75" customHeight="1" x14ac:dyDescent="0.25"/>
    <row r="981" s="85" customFormat="1" ht="12.75" customHeight="1" x14ac:dyDescent="0.25"/>
    <row r="982" s="85" customFormat="1" ht="12.75" customHeight="1" x14ac:dyDescent="0.25"/>
    <row r="983" s="85" customFormat="1" ht="12.75" customHeight="1" x14ac:dyDescent="0.25"/>
    <row r="984" s="85" customFormat="1" ht="12.75" customHeight="1" x14ac:dyDescent="0.25"/>
    <row r="985" s="85" customFormat="1" ht="12.75" customHeight="1" x14ac:dyDescent="0.25"/>
    <row r="986" s="85" customFormat="1" ht="12.75" customHeight="1" x14ac:dyDescent="0.25"/>
    <row r="987" s="85" customFormat="1" ht="12.75" customHeight="1" x14ac:dyDescent="0.25"/>
    <row r="988" s="85" customFormat="1" ht="12.75" customHeight="1" x14ac:dyDescent="0.25"/>
    <row r="989" s="85" customFormat="1" ht="12.75" customHeight="1" x14ac:dyDescent="0.25"/>
    <row r="990" s="85" customFormat="1" ht="12.75" customHeight="1" x14ac:dyDescent="0.25"/>
    <row r="991" s="85" customFormat="1" ht="12.75" customHeight="1" x14ac:dyDescent="0.25"/>
    <row r="992" s="85" customFormat="1" ht="12.75" customHeight="1" x14ac:dyDescent="0.25"/>
    <row r="993" s="85" customFormat="1" ht="12.75" customHeight="1" x14ac:dyDescent="0.25"/>
    <row r="994" s="85" customFormat="1" ht="12.75" customHeight="1" x14ac:dyDescent="0.25"/>
    <row r="995" s="85" customFormat="1" ht="12.75" customHeight="1" x14ac:dyDescent="0.25"/>
    <row r="996" s="85" customFormat="1" ht="12.75" customHeight="1" x14ac:dyDescent="0.25"/>
    <row r="997" s="85" customFormat="1" ht="12.75" customHeight="1" x14ac:dyDescent="0.25"/>
    <row r="998" s="85" customFormat="1" ht="12.75" customHeight="1" x14ac:dyDescent="0.25"/>
    <row r="999" s="85" customFormat="1" ht="12.75" customHeight="1" x14ac:dyDescent="0.25"/>
    <row r="1000" s="85" customFormat="1" ht="12.75" customHeight="1" x14ac:dyDescent="0.25"/>
  </sheetData>
  <mergeCells count="7">
    <mergeCell ref="A43:D43"/>
    <mergeCell ref="A3:P3"/>
    <mergeCell ref="A5:A7"/>
    <mergeCell ref="B5:B7"/>
    <mergeCell ref="C5:G6"/>
    <mergeCell ref="H5:L6"/>
    <mergeCell ref="M5:Q6"/>
  </mergeCell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000"/>
  <sheetViews>
    <sheetView showGridLines="0" workbookViewId="0">
      <selection activeCell="A14" sqref="A14"/>
    </sheetView>
  </sheetViews>
  <sheetFormatPr defaultColWidth="20.44140625" defaultRowHeight="15" customHeight="1" x14ac:dyDescent="0.25"/>
  <cols>
    <col min="1" max="16384" width="20.44140625" style="85"/>
  </cols>
  <sheetData>
    <row r="1" spans="1:37" ht="12.75" customHeight="1" x14ac:dyDescent="0.3">
      <c r="A1" s="77" t="s">
        <v>0</v>
      </c>
      <c r="B1" s="78"/>
      <c r="C1" s="79"/>
      <c r="D1" s="79"/>
      <c r="E1" s="79"/>
      <c r="F1" s="79"/>
      <c r="G1" s="79"/>
      <c r="H1" s="79"/>
      <c r="I1" s="80"/>
      <c r="J1" s="81"/>
      <c r="K1" s="81"/>
      <c r="L1" s="79"/>
      <c r="M1" s="79"/>
      <c r="N1" s="81"/>
      <c r="O1" s="79"/>
      <c r="P1" s="79"/>
      <c r="Q1" s="82"/>
      <c r="R1" s="81"/>
      <c r="S1" s="81"/>
      <c r="T1" s="79"/>
      <c r="U1" s="79"/>
      <c r="V1" s="79"/>
      <c r="W1" s="81"/>
      <c r="X1" s="83"/>
      <c r="Y1" s="81"/>
      <c r="Z1" s="79"/>
      <c r="AA1" s="79"/>
      <c r="AB1" s="81"/>
      <c r="AC1" s="81"/>
      <c r="AD1" s="79"/>
      <c r="AE1" s="79"/>
      <c r="AF1" s="82"/>
      <c r="AG1" s="78"/>
      <c r="AH1" s="81"/>
      <c r="AI1" s="81"/>
      <c r="AJ1" s="81"/>
      <c r="AK1" s="84"/>
    </row>
    <row r="2" spans="1:37" ht="12.75" customHeight="1" x14ac:dyDescent="0.3">
      <c r="A2" s="86"/>
      <c r="B2" s="87"/>
      <c r="C2" s="88"/>
      <c r="D2" s="88"/>
      <c r="E2" s="88"/>
      <c r="F2" s="88"/>
      <c r="G2" s="88"/>
      <c r="H2" s="88"/>
      <c r="I2" s="89"/>
      <c r="J2" s="89"/>
      <c r="K2" s="89"/>
      <c r="L2" s="88"/>
      <c r="M2" s="88"/>
      <c r="N2" s="89"/>
      <c r="O2" s="88"/>
      <c r="P2" s="88"/>
      <c r="Q2" s="86"/>
      <c r="R2" s="89"/>
      <c r="S2" s="89"/>
      <c r="T2" s="88"/>
      <c r="U2" s="88"/>
      <c r="V2" s="88"/>
      <c r="W2" s="89"/>
      <c r="X2" s="90"/>
      <c r="Y2" s="89"/>
      <c r="Z2" s="88"/>
      <c r="AA2" s="88"/>
      <c r="AB2" s="89"/>
      <c r="AC2" s="89"/>
      <c r="AD2" s="88"/>
      <c r="AE2" s="88"/>
      <c r="AF2" s="86"/>
      <c r="AG2" s="87"/>
      <c r="AH2" s="89"/>
      <c r="AI2" s="89"/>
      <c r="AJ2" s="89"/>
      <c r="AK2" s="84"/>
    </row>
    <row r="3" spans="1:37" ht="15" customHeight="1" x14ac:dyDescent="0.3">
      <c r="A3" s="3" t="s">
        <v>205</v>
      </c>
      <c r="B3" s="92"/>
      <c r="C3" s="92"/>
      <c r="D3" s="92"/>
      <c r="E3" s="93"/>
      <c r="F3" s="93"/>
      <c r="G3" s="93"/>
      <c r="H3" s="93"/>
      <c r="I3" s="94"/>
      <c r="J3" s="94"/>
      <c r="K3" s="94"/>
      <c r="L3" s="93"/>
      <c r="M3" s="93"/>
      <c r="N3" s="94"/>
      <c r="O3" s="93"/>
      <c r="P3" s="93"/>
      <c r="Q3" s="95"/>
      <c r="R3" s="96"/>
      <c r="S3" s="96"/>
      <c r="T3" s="95"/>
      <c r="U3" s="95"/>
      <c r="V3" s="95"/>
      <c r="W3" s="96"/>
      <c r="X3" s="97"/>
      <c r="Y3" s="96"/>
      <c r="Z3" s="95"/>
      <c r="AA3" s="95"/>
      <c r="AB3" s="96"/>
      <c r="AC3" s="96"/>
      <c r="AD3" s="95"/>
      <c r="AE3" s="95"/>
      <c r="AF3" s="95"/>
      <c r="AG3" s="95"/>
      <c r="AH3" s="96"/>
      <c r="AI3" s="96"/>
      <c r="AJ3" s="96"/>
      <c r="AK3" s="84"/>
    </row>
    <row r="4" spans="1:37" ht="10.5" customHeight="1" x14ac:dyDescent="0.3">
      <c r="A4" s="91"/>
      <c r="B4" s="92"/>
      <c r="C4" s="92"/>
      <c r="D4" s="92"/>
      <c r="E4" s="93"/>
      <c r="F4" s="93"/>
      <c r="G4" s="93"/>
      <c r="H4" s="93"/>
      <c r="I4" s="94"/>
      <c r="J4" s="94"/>
      <c r="K4" s="94"/>
      <c r="L4" s="93"/>
      <c r="M4" s="93"/>
      <c r="N4" s="94"/>
      <c r="O4" s="93"/>
      <c r="P4" s="93"/>
      <c r="Q4" s="95"/>
      <c r="R4" s="96"/>
      <c r="S4" s="96"/>
      <c r="T4" s="95"/>
      <c r="U4" s="95"/>
      <c r="V4" s="95"/>
      <c r="W4" s="96"/>
      <c r="X4" s="97"/>
      <c r="Y4" s="96"/>
      <c r="Z4" s="95"/>
      <c r="AA4" s="95"/>
      <c r="AB4" s="96"/>
      <c r="AC4" s="96"/>
      <c r="AD4" s="95"/>
      <c r="AE4" s="95"/>
      <c r="AF4" s="95"/>
      <c r="AG4" s="95"/>
      <c r="AH4" s="96"/>
      <c r="AI4" s="96"/>
      <c r="AJ4" s="96"/>
      <c r="AK4" s="84"/>
    </row>
    <row r="5" spans="1:37" ht="12.75" customHeight="1" x14ac:dyDescent="0.25">
      <c r="A5" s="98" t="s">
        <v>1</v>
      </c>
      <c r="B5" s="98" t="s">
        <v>2</v>
      </c>
      <c r="C5" s="99" t="s">
        <v>3</v>
      </c>
      <c r="D5" s="99" t="s">
        <v>4</v>
      </c>
      <c r="E5" s="100" t="s">
        <v>5</v>
      </c>
      <c r="F5" s="98" t="s">
        <v>6</v>
      </c>
      <c r="G5" s="99" t="s">
        <v>7</v>
      </c>
      <c r="H5" s="99" t="s">
        <v>8</v>
      </c>
      <c r="I5" s="101" t="s">
        <v>9</v>
      </c>
      <c r="J5" s="102" t="s">
        <v>10</v>
      </c>
      <c r="K5" s="103" t="s">
        <v>11</v>
      </c>
      <c r="L5" s="99" t="s">
        <v>12</v>
      </c>
      <c r="M5" s="98" t="s">
        <v>13</v>
      </c>
      <c r="N5" s="102" t="s">
        <v>14</v>
      </c>
      <c r="O5" s="100" t="s">
        <v>15</v>
      </c>
      <c r="P5" s="100" t="s">
        <v>16</v>
      </c>
      <c r="Q5" s="100" t="s">
        <v>17</v>
      </c>
      <c r="R5" s="102" t="s">
        <v>18</v>
      </c>
      <c r="S5" s="102" t="s">
        <v>19</v>
      </c>
      <c r="T5" s="99" t="s">
        <v>20</v>
      </c>
      <c r="U5" s="99" t="s">
        <v>21</v>
      </c>
      <c r="V5" s="99" t="s">
        <v>22</v>
      </c>
      <c r="W5" s="102" t="s">
        <v>23</v>
      </c>
      <c r="X5" s="99" t="s">
        <v>24</v>
      </c>
      <c r="Y5" s="102" t="s">
        <v>25</v>
      </c>
      <c r="Z5" s="99" t="s">
        <v>26</v>
      </c>
      <c r="AA5" s="99" t="s">
        <v>27</v>
      </c>
      <c r="AB5" s="101" t="s">
        <v>28</v>
      </c>
      <c r="AC5" s="102" t="s">
        <v>29</v>
      </c>
      <c r="AD5" s="100" t="s">
        <v>30</v>
      </c>
      <c r="AE5" s="99" t="s">
        <v>31</v>
      </c>
      <c r="AF5" s="99" t="s">
        <v>32</v>
      </c>
      <c r="AG5" s="99" t="s">
        <v>33</v>
      </c>
      <c r="AH5" s="102" t="s">
        <v>34</v>
      </c>
      <c r="AI5" s="102" t="s">
        <v>35</v>
      </c>
      <c r="AJ5" s="102" t="s">
        <v>36</v>
      </c>
      <c r="AK5" s="104" t="s">
        <v>39</v>
      </c>
    </row>
    <row r="6" spans="1:37" ht="12.75" customHeight="1" x14ac:dyDescent="0.25">
      <c r="A6" s="105" t="s">
        <v>42</v>
      </c>
      <c r="B6" s="106">
        <v>2.7805593045699299</v>
      </c>
      <c r="C6" s="107">
        <v>0.10394963890841701</v>
      </c>
      <c r="D6" s="106">
        <v>109.270851219931</v>
      </c>
      <c r="E6" s="106">
        <v>8.9600000000000009</v>
      </c>
      <c r="F6" s="107">
        <v>0.98470000000000002</v>
      </c>
      <c r="G6" s="107">
        <v>0.89949999999999997</v>
      </c>
      <c r="H6" s="107">
        <v>0.98729999999999996</v>
      </c>
      <c r="I6" s="107">
        <v>0.13990171099486551</v>
      </c>
      <c r="J6" s="107">
        <v>0.9395</v>
      </c>
      <c r="K6" s="107">
        <v>5.8799999999999998E-2</v>
      </c>
      <c r="L6" s="106">
        <v>16.663384972653535</v>
      </c>
      <c r="M6" s="106">
        <v>4.9632737385213828</v>
      </c>
      <c r="N6" s="107">
        <v>0.48330000000000001</v>
      </c>
      <c r="O6" s="106">
        <v>6.0347496206373297</v>
      </c>
      <c r="P6" s="106">
        <v>5.2290858725761753</v>
      </c>
      <c r="Q6" s="106">
        <v>7.3</v>
      </c>
      <c r="R6" s="107">
        <v>0.96250000000000002</v>
      </c>
      <c r="S6" s="107">
        <v>0.51259999999999994</v>
      </c>
      <c r="T6" s="106">
        <v>218.36614992190857</v>
      </c>
      <c r="U6" s="106">
        <v>361.27497025083397</v>
      </c>
      <c r="V6" s="106">
        <v>11.6306473679539</v>
      </c>
      <c r="W6" s="107">
        <v>0.03</v>
      </c>
      <c r="X6" s="107">
        <v>-0.04</v>
      </c>
      <c r="Y6" s="107">
        <v>0.52247380969908996</v>
      </c>
      <c r="Z6" s="106">
        <v>5.7798601016257187</v>
      </c>
      <c r="AA6" s="106">
        <v>28.83</v>
      </c>
      <c r="AB6" s="107">
        <v>0.24310000000000001</v>
      </c>
      <c r="AC6" s="107">
        <v>9.1568282676044499E-2</v>
      </c>
      <c r="AD6" s="106">
        <v>3.29</v>
      </c>
      <c r="AE6" s="106">
        <v>30.16</v>
      </c>
      <c r="AF6" s="106">
        <v>149.80946586525712</v>
      </c>
      <c r="AG6" s="106">
        <v>3.5258756608803128</v>
      </c>
      <c r="AH6" s="107">
        <v>0.02</v>
      </c>
      <c r="AI6" s="107">
        <v>0.21260000000000001</v>
      </c>
      <c r="AJ6" s="107">
        <v>9.8199999999999996E-2</v>
      </c>
      <c r="AK6" s="107">
        <v>0.28039999999999998</v>
      </c>
    </row>
    <row r="7" spans="1:37" ht="12.75" customHeight="1" x14ac:dyDescent="0.25">
      <c r="A7" s="105" t="s">
        <v>45</v>
      </c>
      <c r="B7" s="106">
        <v>3.4642032332563502</v>
      </c>
      <c r="C7" s="107">
        <v>8.7579617834394899E-2</v>
      </c>
      <c r="D7" s="106">
        <v>155.440414507772</v>
      </c>
      <c r="E7" s="106">
        <v>6.16</v>
      </c>
      <c r="F7" s="107">
        <v>0.99729999999999996</v>
      </c>
      <c r="G7" s="107">
        <v>0.93969999999999998</v>
      </c>
      <c r="H7" s="107">
        <v>0.94259999999999999</v>
      </c>
      <c r="I7" s="107">
        <v>4.1015946079237219E-2</v>
      </c>
      <c r="J7" s="107">
        <v>0.91120000000000001</v>
      </c>
      <c r="K7" s="107">
        <v>0.10199999999999999</v>
      </c>
      <c r="L7" s="106">
        <v>19.009800608313618</v>
      </c>
      <c r="M7" s="106">
        <v>13.771544440689423</v>
      </c>
      <c r="N7" s="107">
        <v>0.51239999999999997</v>
      </c>
      <c r="O7" s="106">
        <v>5.4999999999999991</v>
      </c>
      <c r="P7" s="106">
        <v>4.9800000000000004</v>
      </c>
      <c r="Q7" s="106">
        <v>15.824999999999999</v>
      </c>
      <c r="R7" s="107">
        <v>0.9304</v>
      </c>
      <c r="S7" s="107">
        <v>0.32350000000000001</v>
      </c>
      <c r="T7" s="106">
        <v>251.12573605819188</v>
      </c>
      <c r="U7" s="106">
        <v>515.37681649205797</v>
      </c>
      <c r="V7" s="106">
        <v>21.122000675904001</v>
      </c>
      <c r="W7" s="107">
        <v>0</v>
      </c>
      <c r="X7" s="107">
        <v>0.01</v>
      </c>
      <c r="Y7" s="107">
        <v>0.49205812774586</v>
      </c>
      <c r="Z7" s="106">
        <v>8.4488002703616072</v>
      </c>
      <c r="AA7" s="106">
        <v>42.94</v>
      </c>
      <c r="AB7" s="107">
        <v>0.26581843634637298</v>
      </c>
      <c r="AC7" s="107">
        <v>0.146774193548387</v>
      </c>
      <c r="AD7" s="106">
        <v>0</v>
      </c>
      <c r="AE7" s="106">
        <v>14.89</v>
      </c>
      <c r="AF7" s="106">
        <v>202.77120648867862</v>
      </c>
      <c r="AG7" s="106">
        <v>4.2244001351808036</v>
      </c>
      <c r="AH7" s="107">
        <v>4.5400000000000003E-2</v>
      </c>
      <c r="AI7" s="107">
        <v>3.8800000000000001E-2</v>
      </c>
      <c r="AJ7" s="107">
        <v>2.1000000000000001E-2</v>
      </c>
      <c r="AK7" s="107">
        <v>9.8100000000000007E-2</v>
      </c>
    </row>
    <row r="8" spans="1:37" ht="12.75" customHeight="1" x14ac:dyDescent="0.25">
      <c r="A8" s="105" t="s">
        <v>47</v>
      </c>
      <c r="B8" s="106">
        <v>3.4387895460797799</v>
      </c>
      <c r="C8" s="107">
        <v>0.12931034482758599</v>
      </c>
      <c r="D8" s="106">
        <v>131.23359580052499</v>
      </c>
      <c r="E8" s="106">
        <v>14.3</v>
      </c>
      <c r="F8" s="107">
        <v>0.99660000000000004</v>
      </c>
      <c r="G8" s="107">
        <v>0.92230000000000001</v>
      </c>
      <c r="H8" s="107">
        <v>0.9234</v>
      </c>
      <c r="I8" s="107">
        <v>2.6250546886393469E-3</v>
      </c>
      <c r="J8" s="107">
        <v>0.96909999999999996</v>
      </c>
      <c r="K8" s="107">
        <v>3.7699999999999997E-2</v>
      </c>
      <c r="L8" s="106">
        <v>76.317235484461804</v>
      </c>
      <c r="M8" s="106">
        <v>99.212406129800357</v>
      </c>
      <c r="N8" s="107">
        <v>0.40510000000000002</v>
      </c>
      <c r="O8" s="106">
        <v>6.2750000000000004</v>
      </c>
      <c r="P8" s="106">
        <v>5.86</v>
      </c>
      <c r="Q8" s="106">
        <v>5.833333333333333</v>
      </c>
      <c r="R8" s="107">
        <v>0.97470000000000001</v>
      </c>
      <c r="S8" s="107">
        <v>0.50760000000000005</v>
      </c>
      <c r="T8" s="106">
        <v>258.39793281653749</v>
      </c>
      <c r="U8" s="106">
        <v>326.63776787349701</v>
      </c>
      <c r="V8" s="106">
        <v>12.2107576775139</v>
      </c>
      <c r="W8" s="107">
        <v>2.1720347552575899E-2</v>
      </c>
      <c r="X8" s="107">
        <v>-2.9999999999999997E-4</v>
      </c>
      <c r="Y8" s="107">
        <v>0.87297759325966195</v>
      </c>
      <c r="Z8" s="106">
        <v>9.1580682581354171</v>
      </c>
      <c r="AA8" s="106">
        <v>31.04</v>
      </c>
      <c r="AB8" s="107">
        <v>0.286130403234166</v>
      </c>
      <c r="AC8" s="107">
        <v>9.7777777777777797E-2</v>
      </c>
      <c r="AD8" s="106">
        <v>0</v>
      </c>
      <c r="AE8" s="106">
        <v>92.44</v>
      </c>
      <c r="AF8" s="106">
        <v>549.48409548812504</v>
      </c>
      <c r="AG8" s="106">
        <v>6.1053788387569448</v>
      </c>
      <c r="AH8" s="107">
        <v>1.35E-2</v>
      </c>
      <c r="AI8" s="107">
        <v>0.2402</v>
      </c>
      <c r="AJ8" s="107">
        <v>0.18029999999999999</v>
      </c>
      <c r="AK8" s="107">
        <v>0.39369999999999999</v>
      </c>
    </row>
    <row r="9" spans="1:37" ht="12.75" customHeight="1" x14ac:dyDescent="0.25">
      <c r="A9" s="105" t="s">
        <v>59</v>
      </c>
      <c r="B9" s="106">
        <v>2.66021765417171</v>
      </c>
      <c r="C9" s="107">
        <v>0.109489051094891</v>
      </c>
      <c r="D9" s="106">
        <v>132.91980505095299</v>
      </c>
      <c r="E9" s="106">
        <v>5.07</v>
      </c>
      <c r="F9" s="107">
        <v>0.99460000000000004</v>
      </c>
      <c r="G9" s="107">
        <v>0.93030000000000002</v>
      </c>
      <c r="H9" s="107">
        <v>0.96450000000000002</v>
      </c>
      <c r="I9" s="107">
        <v>8.7369420702754039E-2</v>
      </c>
      <c r="J9" s="107">
        <v>0.90769999999999995</v>
      </c>
      <c r="K9" s="107">
        <v>8.1299999999999997E-2</v>
      </c>
      <c r="L9" s="106">
        <v>18.727526967638834</v>
      </c>
      <c r="M9" s="106">
        <v>5.6806831801837792</v>
      </c>
      <c r="N9" s="107">
        <v>0.67500000000000004</v>
      </c>
      <c r="O9" s="106">
        <v>6.0250000000000004</v>
      </c>
      <c r="P9" s="106">
        <v>5.5333333333333341</v>
      </c>
      <c r="Q9" s="106">
        <v>14.75</v>
      </c>
      <c r="R9" s="107">
        <v>0.95309999999999995</v>
      </c>
      <c r="S9" s="107">
        <v>0.45879999999999999</v>
      </c>
      <c r="T9" s="106">
        <v>244.578955278943</v>
      </c>
      <c r="U9" s="106">
        <v>332.10147822612902</v>
      </c>
      <c r="V9" s="106">
        <v>14.9820215741111</v>
      </c>
      <c r="W9" s="107">
        <v>2.0531724475194399E-2</v>
      </c>
      <c r="X9" s="107">
        <v>-6.4999999999999997E-3</v>
      </c>
      <c r="Y9" s="107">
        <v>0.60147822612864599</v>
      </c>
      <c r="Z9" s="106">
        <v>6.2425089892129435</v>
      </c>
      <c r="AA9" s="106">
        <v>23.25</v>
      </c>
      <c r="AB9" s="107">
        <v>0.268313450191147</v>
      </c>
      <c r="AC9" s="107">
        <v>9.6726190476190493E-2</v>
      </c>
      <c r="AD9" s="106">
        <v>3.8</v>
      </c>
      <c r="AE9" s="106">
        <v>17.89</v>
      </c>
      <c r="AF9" s="106">
        <v>157.3112265281662</v>
      </c>
      <c r="AG9" s="106">
        <v>3.7455053935277665</v>
      </c>
      <c r="AH9" s="107">
        <v>2.2800000000000001E-2</v>
      </c>
      <c r="AI9" s="107">
        <v>0.15160000000000001</v>
      </c>
      <c r="AJ9" s="107">
        <v>6.6299999999999998E-2</v>
      </c>
      <c r="AK9" s="107">
        <v>0.218</v>
      </c>
    </row>
    <row r="10" spans="1:37" ht="12.75" customHeight="1" x14ac:dyDescent="0.25">
      <c r="A10" s="105" t="s">
        <v>60</v>
      </c>
      <c r="B10" s="106">
        <v>1.2370113805047001</v>
      </c>
      <c r="C10" s="107">
        <v>9.2553931802365999E-2</v>
      </c>
      <c r="D10" s="106">
        <v>44.355732978487502</v>
      </c>
      <c r="E10" s="106">
        <v>2.73</v>
      </c>
      <c r="F10" s="107">
        <v>0.99870000000000003</v>
      </c>
      <c r="G10" s="107">
        <v>0.99070000000000003</v>
      </c>
      <c r="H10" s="107">
        <v>0.99329999999999996</v>
      </c>
      <c r="I10" s="107">
        <v>1.6693850139115417E-2</v>
      </c>
      <c r="J10" s="107">
        <v>0.98660000000000003</v>
      </c>
      <c r="K10" s="107">
        <v>7.7000000000000002E-3</v>
      </c>
      <c r="L10" s="106">
        <v>4.2077506767465671</v>
      </c>
      <c r="M10" s="106">
        <v>8.055504906704817</v>
      </c>
      <c r="N10" s="107">
        <v>0.54310000000000003</v>
      </c>
      <c r="O10" s="106">
        <v>6.5928571428571416</v>
      </c>
      <c r="P10" s="106">
        <v>5.8</v>
      </c>
      <c r="Q10" s="106">
        <v>14.733333333333334</v>
      </c>
      <c r="R10" s="107">
        <v>0.99760000000000004</v>
      </c>
      <c r="S10" s="107">
        <v>0.75549999999999995</v>
      </c>
      <c r="T10" s="106">
        <v>144.26072369997604</v>
      </c>
      <c r="U10" s="106">
        <v>236.10156575078</v>
      </c>
      <c r="V10" s="106">
        <v>5.6103342356620898</v>
      </c>
      <c r="W10" s="107">
        <v>0.117271286448087</v>
      </c>
      <c r="X10" s="107">
        <v>-3.1199999999999999E-2</v>
      </c>
      <c r="Y10" s="107">
        <v>0.73047486804026396</v>
      </c>
      <c r="Z10" s="106">
        <v>0.4675278529718408</v>
      </c>
      <c r="AA10" s="106">
        <v>25.65</v>
      </c>
      <c r="AB10" s="107">
        <v>0.27647343151514198</v>
      </c>
      <c r="AC10" s="107">
        <v>2.44755244755245E-2</v>
      </c>
      <c r="AD10" s="106">
        <v>0.42</v>
      </c>
      <c r="AE10" s="106">
        <v>58.81</v>
      </c>
      <c r="AF10" s="106">
        <v>79.479735005212945</v>
      </c>
      <c r="AG10" s="106">
        <v>0.4675278529718408</v>
      </c>
      <c r="AH10" s="107">
        <v>4.8999999999999998E-3</v>
      </c>
      <c r="AI10" s="107">
        <v>0.57030000000000003</v>
      </c>
      <c r="AJ10" s="107">
        <v>0.35170000000000001</v>
      </c>
      <c r="AK10" s="107">
        <v>0.68689999999999996</v>
      </c>
    </row>
    <row r="11" spans="1:37" ht="12.75" customHeight="1" x14ac:dyDescent="0.25">
      <c r="A11" s="105" t="s">
        <v>62</v>
      </c>
      <c r="B11" s="106">
        <v>1.97628458498024</v>
      </c>
      <c r="C11" s="107">
        <v>9.1194968553459099E-2</v>
      </c>
      <c r="D11" s="106">
        <v>69.637883008356596</v>
      </c>
      <c r="E11" s="106">
        <v>2.73</v>
      </c>
      <c r="F11" s="107">
        <v>0.99919999999999998</v>
      </c>
      <c r="G11" s="107">
        <v>0.99360000000000004</v>
      </c>
      <c r="H11" s="107">
        <v>0.99490000000000001</v>
      </c>
      <c r="I11" s="107">
        <v>1.7252824289197288E-2</v>
      </c>
      <c r="J11" s="107">
        <v>0.97199999999999998</v>
      </c>
      <c r="K11" s="107">
        <v>1.0699999999999999E-2</v>
      </c>
      <c r="L11" s="106">
        <v>5.6577886533048556</v>
      </c>
      <c r="M11" s="106">
        <v>8.2037935472920402</v>
      </c>
      <c r="N11" s="107">
        <v>0.59</v>
      </c>
      <c r="O11" s="106">
        <v>6.4166666666666652</v>
      </c>
      <c r="P11" s="106">
        <v>5.3249999999999993</v>
      </c>
      <c r="Q11" s="106">
        <v>12.333333333333334</v>
      </c>
      <c r="R11" s="107">
        <v>0.99390000000000001</v>
      </c>
      <c r="S11" s="107">
        <v>0.71960000000000002</v>
      </c>
      <c r="T11" s="106">
        <v>148.5850649496837</v>
      </c>
      <c r="U11" s="106">
        <v>185.29257839573401</v>
      </c>
      <c r="V11" s="106">
        <v>7.77945939829418</v>
      </c>
      <c r="W11" s="107">
        <v>7.5150952644502694E-2</v>
      </c>
      <c r="X11" s="107">
        <v>-8.4900000000000003E-2</v>
      </c>
      <c r="Y11" s="107">
        <v>0.93715611253341602</v>
      </c>
      <c r="Z11" s="106">
        <v>0</v>
      </c>
      <c r="AA11" s="106">
        <v>24.71</v>
      </c>
      <c r="AB11" s="107">
        <v>0.29800864815657702</v>
      </c>
      <c r="AC11" s="107">
        <v>4.7210300429184601E-2</v>
      </c>
      <c r="AD11" s="106">
        <v>0</v>
      </c>
      <c r="AE11" s="106">
        <v>32.22</v>
      </c>
      <c r="AF11" s="106">
        <v>133.66525693432723</v>
      </c>
      <c r="AG11" s="106">
        <v>0.70722358166310695</v>
      </c>
      <c r="AH11" s="107">
        <v>5.4999999999999997E-3</v>
      </c>
      <c r="AI11" s="107">
        <v>0.50490000000000002</v>
      </c>
      <c r="AJ11" s="107">
        <v>0.28339999999999999</v>
      </c>
      <c r="AK11" s="107">
        <v>0.58689999999999998</v>
      </c>
    </row>
    <row r="12" spans="1:37" ht="12.75" customHeight="1" x14ac:dyDescent="0.25">
      <c r="A12" s="105" t="s">
        <v>63</v>
      </c>
      <c r="B12" s="106">
        <v>1.30441871840861</v>
      </c>
      <c r="C12" s="107">
        <v>8.7689713322091106E-2</v>
      </c>
      <c r="D12" s="106">
        <v>27.9876854184159</v>
      </c>
      <c r="E12" s="106">
        <v>8.9</v>
      </c>
      <c r="F12" s="107">
        <v>0.996</v>
      </c>
      <c r="G12" s="107">
        <v>0.99439999999999995</v>
      </c>
      <c r="H12" s="107">
        <v>0.99739999999999995</v>
      </c>
      <c r="I12" s="107">
        <v>2.7137697140200506E-2</v>
      </c>
      <c r="J12" s="107">
        <v>0.98629999999999995</v>
      </c>
      <c r="K12" s="107">
        <v>1.9800000000000002E-2</v>
      </c>
      <c r="L12" s="106">
        <v>4.7082562636623511</v>
      </c>
      <c r="M12" s="106">
        <v>4.600638977635783</v>
      </c>
      <c r="N12" s="107">
        <v>0.55659999999999998</v>
      </c>
      <c r="O12" s="106">
        <v>6.3625000000000007</v>
      </c>
      <c r="P12" s="106">
        <v>5.2272727272727275</v>
      </c>
      <c r="Q12" s="106">
        <v>3.5099999999999993</v>
      </c>
      <c r="R12" s="107">
        <v>0.99590000000000001</v>
      </c>
      <c r="S12" s="107">
        <v>0.79679999999999995</v>
      </c>
      <c r="T12" s="106">
        <v>118.19361891097903</v>
      </c>
      <c r="U12" s="106">
        <v>265.00756684042398</v>
      </c>
      <c r="V12" s="106">
        <v>8.7439044896586502</v>
      </c>
      <c r="W12" s="107">
        <v>9.9646848982270705E-2</v>
      </c>
      <c r="X12" s="107">
        <v>-7.9799999999999996E-2</v>
      </c>
      <c r="Y12" s="107">
        <v>0.59576929544308099</v>
      </c>
      <c r="Z12" s="106">
        <v>1.3452160753321001</v>
      </c>
      <c r="AA12" s="106">
        <v>27.6</v>
      </c>
      <c r="AB12" s="107">
        <v>0.27641532597076302</v>
      </c>
      <c r="AC12" s="107">
        <v>2.2827041264266899E-2</v>
      </c>
      <c r="AD12" s="106">
        <v>0</v>
      </c>
      <c r="AE12" s="106">
        <v>89.05</v>
      </c>
      <c r="AF12" s="106">
        <v>89.456869009584665</v>
      </c>
      <c r="AG12" s="106">
        <v>0.67260803766605004</v>
      </c>
      <c r="AH12" s="107">
        <v>6.0000000000000001E-3</v>
      </c>
      <c r="AI12" s="107">
        <v>0.58130000000000004</v>
      </c>
      <c r="AJ12" s="107">
        <v>0.18820000000000001</v>
      </c>
      <c r="AK12" s="107">
        <v>0.66479999999999995</v>
      </c>
    </row>
    <row r="13" spans="1:37" ht="12.75" customHeight="1" x14ac:dyDescent="0.25">
      <c r="A13" s="105" t="s">
        <v>64</v>
      </c>
      <c r="B13" s="106">
        <v>2.0743301642178</v>
      </c>
      <c r="C13" s="107">
        <v>0.11563981042653999</v>
      </c>
      <c r="D13" s="106">
        <v>63.331222292590297</v>
      </c>
      <c r="E13" s="106">
        <v>8.48</v>
      </c>
      <c r="F13" s="107">
        <v>0.99409999999999998</v>
      </c>
      <c r="G13" s="107">
        <v>0.93169999999999997</v>
      </c>
      <c r="H13" s="107">
        <v>0.97260000000000002</v>
      </c>
      <c r="I13" s="107">
        <v>4.9453526169501105E-2</v>
      </c>
      <c r="J13" s="107">
        <v>0.88829999999999998</v>
      </c>
      <c r="K13" s="107">
        <v>7.0900000000000005E-2</v>
      </c>
      <c r="L13" s="106">
        <v>19.483207910182411</v>
      </c>
      <c r="M13" s="106">
        <v>8.1707703173327495</v>
      </c>
      <c r="N13" s="107">
        <v>0.48370000000000002</v>
      </c>
      <c r="O13" s="106">
        <v>6.0454545454545459</v>
      </c>
      <c r="P13" s="106">
        <v>5.25</v>
      </c>
      <c r="Q13" s="106">
        <v>11.77</v>
      </c>
      <c r="R13" s="107">
        <v>0.95309999999999995</v>
      </c>
      <c r="S13" s="107">
        <v>0.36599999999999999</v>
      </c>
      <c r="T13" s="106">
        <v>276.43747486932045</v>
      </c>
      <c r="U13" s="106">
        <v>635.639658069701</v>
      </c>
      <c r="V13" s="106">
        <v>25.5717103821144</v>
      </c>
      <c r="W13" s="107">
        <v>3.9173769415301103E-2</v>
      </c>
      <c r="X13" s="107">
        <v>-4.4299999999999999E-2</v>
      </c>
      <c r="Y13" s="107">
        <v>0.57542436862229396</v>
      </c>
      <c r="Z13" s="106">
        <v>2.4354009887728014</v>
      </c>
      <c r="AA13" s="106">
        <v>28.55</v>
      </c>
      <c r="AB13" s="107">
        <v>0.24497893954272301</v>
      </c>
      <c r="AC13" s="107">
        <v>0.11033797216699801</v>
      </c>
      <c r="AD13" s="106">
        <v>0</v>
      </c>
      <c r="AE13" s="106">
        <v>7.28</v>
      </c>
      <c r="AF13" s="106">
        <v>176.56657168602811</v>
      </c>
      <c r="AG13" s="106">
        <v>4.8708019775456028</v>
      </c>
      <c r="AH13" s="107">
        <v>3.2199999999999999E-2</v>
      </c>
      <c r="AI13" s="107">
        <v>8.7900000000000006E-2</v>
      </c>
      <c r="AJ13" s="107">
        <v>5.8400000000000001E-2</v>
      </c>
      <c r="AK13" s="107">
        <v>0.19239999999999999</v>
      </c>
    </row>
    <row r="14" spans="1:37" ht="12.75" customHeight="1" x14ac:dyDescent="0.25">
      <c r="A14" s="105" t="s">
        <v>65</v>
      </c>
      <c r="B14" s="106">
        <v>2.0553359683794499</v>
      </c>
      <c r="C14" s="107">
        <v>0.10648918469217999</v>
      </c>
      <c r="D14" s="106">
        <v>85.787818129825595</v>
      </c>
      <c r="E14" s="106">
        <v>5.5</v>
      </c>
      <c r="F14" s="107">
        <v>0.96660000000000001</v>
      </c>
      <c r="G14" s="107">
        <v>0.96030000000000004</v>
      </c>
      <c r="H14" s="107">
        <v>0.99509999999999998</v>
      </c>
      <c r="I14" s="107">
        <v>1.3514108134866068E-2</v>
      </c>
      <c r="J14" s="107">
        <v>0.97319999999999995</v>
      </c>
      <c r="K14" s="107">
        <v>1.8499999999999999E-2</v>
      </c>
      <c r="L14" s="106">
        <v>4.3922395401952663</v>
      </c>
      <c r="M14" s="106">
        <v>7.8683834048640913</v>
      </c>
      <c r="N14" s="107">
        <v>0.47689999999999999</v>
      </c>
      <c r="O14" s="106">
        <v>5.9187500000000002</v>
      </c>
      <c r="P14" s="106">
        <v>5.254545454545454</v>
      </c>
      <c r="Q14" s="106">
        <v>8.9233333333333338</v>
      </c>
      <c r="R14" s="107">
        <v>0.99199999999999999</v>
      </c>
      <c r="S14" s="107">
        <v>0.7107</v>
      </c>
      <c r="T14" s="106">
        <v>155.20345009636608</v>
      </c>
      <c r="U14" s="106">
        <v>184.47406068820101</v>
      </c>
      <c r="V14" s="106">
        <v>8.15701628893407</v>
      </c>
      <c r="W14" s="107">
        <v>3.1831206370071398E-2</v>
      </c>
      <c r="X14" s="107">
        <v>-6.3E-3</v>
      </c>
      <c r="Y14" s="107">
        <v>0.78357553397083601</v>
      </c>
      <c r="Z14" s="106">
        <v>1.2549255829129333</v>
      </c>
      <c r="AA14" s="106">
        <v>22.18</v>
      </c>
      <c r="AB14" s="107">
        <v>0.26333254127265698</v>
      </c>
      <c r="AC14" s="107">
        <v>3.8527397260274002E-2</v>
      </c>
      <c r="AD14" s="106">
        <v>0.55000000000000004</v>
      </c>
      <c r="AE14" s="106">
        <v>81.97</v>
      </c>
      <c r="AF14" s="106">
        <v>101.64897221594758</v>
      </c>
      <c r="AG14" s="106">
        <v>0</v>
      </c>
      <c r="AH14" s="107">
        <v>6.1000000000000004E-3</v>
      </c>
      <c r="AI14" s="107">
        <v>0.46339999999999998</v>
      </c>
      <c r="AJ14" s="107">
        <v>0.2462</v>
      </c>
      <c r="AK14" s="107">
        <v>0.61739999999999995</v>
      </c>
    </row>
    <row r="15" spans="1:37" ht="12.75" customHeight="1" x14ac:dyDescent="0.25">
      <c r="A15" s="105" t="s">
        <v>66</v>
      </c>
      <c r="B15" s="106">
        <v>2.4921083236418</v>
      </c>
      <c r="C15" s="107">
        <v>0.129001883239171</v>
      </c>
      <c r="D15" s="106">
        <v>90.117152297987403</v>
      </c>
      <c r="E15" s="106">
        <v>17.95</v>
      </c>
      <c r="F15" s="107">
        <v>0.98709999999999998</v>
      </c>
      <c r="G15" s="107">
        <v>0.98540000000000005</v>
      </c>
      <c r="H15" s="107">
        <v>0.99490000000000001</v>
      </c>
      <c r="I15" s="107">
        <v>0.10277851143626855</v>
      </c>
      <c r="J15" s="107">
        <v>0.92859999999999998</v>
      </c>
      <c r="K15" s="107">
        <v>2.12E-2</v>
      </c>
      <c r="L15" s="106">
        <v>8.2971661986213938</v>
      </c>
      <c r="M15" s="106">
        <v>7.6014807250446772</v>
      </c>
      <c r="N15" s="107">
        <v>0.47949999999999998</v>
      </c>
      <c r="O15" s="106">
        <v>6.1263157894736828</v>
      </c>
      <c r="P15" s="106">
        <v>5.12</v>
      </c>
      <c r="Q15" s="106">
        <v>11.608333333333334</v>
      </c>
      <c r="R15" s="107">
        <v>0.98540000000000005</v>
      </c>
      <c r="S15" s="107">
        <v>0.68200000000000005</v>
      </c>
      <c r="T15" s="106">
        <v>172.29701629097994</v>
      </c>
      <c r="U15" s="106">
        <v>260.403369925964</v>
      </c>
      <c r="V15" s="106">
        <v>8.2971661986213903</v>
      </c>
      <c r="W15" s="107">
        <v>5.9682945538866203E-2</v>
      </c>
      <c r="X15" s="107">
        <v>-1.1000000000000001E-3</v>
      </c>
      <c r="Y15" s="107">
        <v>0.33010594842992103</v>
      </c>
      <c r="Z15" s="106">
        <v>0.63824355374010722</v>
      </c>
      <c r="AA15" s="106">
        <v>30.08</v>
      </c>
      <c r="AB15" s="107">
        <v>0.24946129101973899</v>
      </c>
      <c r="AC15" s="107">
        <v>5.2427184466019398E-2</v>
      </c>
      <c r="AD15" s="106">
        <v>0.53</v>
      </c>
      <c r="AE15" s="106">
        <v>9.18</v>
      </c>
      <c r="AF15" s="106">
        <v>124.4574929793209</v>
      </c>
      <c r="AG15" s="106">
        <v>0.63824355374010722</v>
      </c>
      <c r="AH15" s="107">
        <v>1.1900000000000001E-2</v>
      </c>
      <c r="AI15" s="107">
        <v>0.40720000000000001</v>
      </c>
      <c r="AJ15" s="107">
        <v>0.2581</v>
      </c>
      <c r="AK15" s="107">
        <v>0.54239999999999999</v>
      </c>
    </row>
    <row r="16" spans="1:37" ht="12.75" customHeight="1" x14ac:dyDescent="0.25">
      <c r="A16" s="105" t="s">
        <v>67</v>
      </c>
      <c r="B16" s="106">
        <v>2.9998235397917798</v>
      </c>
      <c r="C16" s="107">
        <v>0.109638554216867</v>
      </c>
      <c r="D16" s="106">
        <v>57.736720554272502</v>
      </c>
      <c r="E16" s="106">
        <v>14.99</v>
      </c>
      <c r="F16" s="107">
        <v>0.995</v>
      </c>
      <c r="G16" s="107">
        <v>0.9718</v>
      </c>
      <c r="H16" s="107">
        <v>0.99109999999999998</v>
      </c>
      <c r="I16" s="107">
        <v>0.24441658995802243</v>
      </c>
      <c r="J16" s="107">
        <v>0.90639999999999998</v>
      </c>
      <c r="K16" s="107">
        <v>6.6299999999999998E-2</v>
      </c>
      <c r="L16" s="106">
        <v>16.742515334621999</v>
      </c>
      <c r="M16" s="106">
        <v>6.3469353586703399</v>
      </c>
      <c r="N16" s="107">
        <v>0.43169999999999997</v>
      </c>
      <c r="O16" s="106">
        <v>5.976</v>
      </c>
      <c r="P16" s="106">
        <v>5.2454545454545451</v>
      </c>
      <c r="Q16" s="106">
        <v>9.2687499999999989</v>
      </c>
      <c r="R16" s="107">
        <v>0.97230000000000005</v>
      </c>
      <c r="S16" s="107">
        <v>0.47660000000000002</v>
      </c>
      <c r="T16" s="106">
        <v>343.50416657831681</v>
      </c>
      <c r="U16" s="106">
        <v>487.05499155263999</v>
      </c>
      <c r="V16" s="106">
        <v>20.547632456127001</v>
      </c>
      <c r="W16" s="107">
        <v>7.1666037745096696E-3</v>
      </c>
      <c r="X16" s="107">
        <v>-1.9099999999999999E-2</v>
      </c>
      <c r="Y16" s="107">
        <v>0.89852513660370503</v>
      </c>
      <c r="Z16" s="106">
        <v>7.610234243009999</v>
      </c>
      <c r="AA16" s="106">
        <v>23.08</v>
      </c>
      <c r="AB16" s="107">
        <v>0.24341082618475601</v>
      </c>
      <c r="AC16" s="107">
        <v>0.116536458333333</v>
      </c>
      <c r="AD16" s="106">
        <v>4.57</v>
      </c>
      <c r="AE16" s="106">
        <v>5.28</v>
      </c>
      <c r="AF16" s="106">
        <v>204.71530113696898</v>
      </c>
      <c r="AG16" s="106">
        <v>3.0440936972039996</v>
      </c>
      <c r="AH16" s="107">
        <v>0.02</v>
      </c>
      <c r="AI16" s="107">
        <v>0.1343</v>
      </c>
      <c r="AJ16" s="107">
        <v>8.3599999999999994E-2</v>
      </c>
      <c r="AK16" s="107">
        <v>0.2389</v>
      </c>
    </row>
    <row r="17" spans="1:37" ht="12.75" customHeight="1" x14ac:dyDescent="0.25">
      <c r="A17" s="105" t="s">
        <v>68</v>
      </c>
      <c r="B17" s="106">
        <v>2.7711298652223202</v>
      </c>
      <c r="C17" s="107">
        <v>8.9335180055401697E-2</v>
      </c>
      <c r="D17" s="106">
        <v>45.6100342075257</v>
      </c>
      <c r="E17" s="106">
        <v>23.36</v>
      </c>
      <c r="F17" s="107">
        <v>0.99829999999999997</v>
      </c>
      <c r="G17" s="107">
        <v>0.97399999999999998</v>
      </c>
      <c r="H17" s="107">
        <v>0.99629999999999996</v>
      </c>
      <c r="I17" s="107">
        <v>7.4425466841844534E-2</v>
      </c>
      <c r="J17" s="107">
        <v>0.97529999999999994</v>
      </c>
      <c r="K17" s="107">
        <v>5.9299999999999999E-2</v>
      </c>
      <c r="L17" s="106">
        <v>27.7997562175224</v>
      </c>
      <c r="M17" s="106">
        <v>5.2106722551304809</v>
      </c>
      <c r="N17" s="107">
        <v>0.4577</v>
      </c>
      <c r="O17" s="106">
        <v>6.1444444444444448</v>
      </c>
      <c r="P17" s="106">
        <v>5.1333333333333329</v>
      </c>
      <c r="Q17" s="106">
        <v>10.99</v>
      </c>
      <c r="R17" s="107">
        <v>0.95220000000000005</v>
      </c>
      <c r="S17" s="107">
        <v>0.48670000000000002</v>
      </c>
      <c r="T17" s="106">
        <v>218.44462777267816</v>
      </c>
      <c r="U17" s="106">
        <v>303.658875606783</v>
      </c>
      <c r="V17" s="106">
        <v>8.5537711438530497</v>
      </c>
      <c r="W17" s="107">
        <v>2.9488658827534299E-2</v>
      </c>
      <c r="X17" s="107">
        <v>-6.7599999999999993E-2</v>
      </c>
      <c r="Y17" s="107">
        <v>0.748711588221457</v>
      </c>
      <c r="Z17" s="106">
        <v>14.96909950174283</v>
      </c>
      <c r="AA17" s="106">
        <v>28.08</v>
      </c>
      <c r="AB17" s="107">
        <v>0.25054978169592401</v>
      </c>
      <c r="AC17" s="107">
        <v>0.102775693923481</v>
      </c>
      <c r="AD17" s="106">
        <v>5.38</v>
      </c>
      <c r="AE17" s="106">
        <v>24.3</v>
      </c>
      <c r="AF17" s="106">
        <v>126.16812437183243</v>
      </c>
      <c r="AG17" s="106">
        <v>5.7025140959020302</v>
      </c>
      <c r="AH17" s="107">
        <v>1.95E-2</v>
      </c>
      <c r="AI17" s="107">
        <v>0.13389999999999999</v>
      </c>
      <c r="AJ17" s="107">
        <v>8.6499999999999994E-2</v>
      </c>
      <c r="AK17" s="107">
        <v>0.20930000000000001</v>
      </c>
    </row>
    <row r="18" spans="1:37" ht="12.75" customHeight="1" x14ac:dyDescent="0.25">
      <c r="A18" s="105" t="s">
        <v>69</v>
      </c>
      <c r="B18" s="106">
        <v>2.4530847540782501</v>
      </c>
      <c r="C18" s="107">
        <v>0.10993657505285399</v>
      </c>
      <c r="D18" s="106">
        <v>155.41740674955599</v>
      </c>
      <c r="E18" s="106">
        <v>7.85</v>
      </c>
      <c r="F18" s="107">
        <v>0.99019999999999997</v>
      </c>
      <c r="G18" s="107">
        <v>0.94730000000000003</v>
      </c>
      <c r="H18" s="107">
        <v>0.99560000000000004</v>
      </c>
      <c r="I18" s="107">
        <v>9.8296228479556977E-2</v>
      </c>
      <c r="J18" s="107">
        <v>0.96289999999999998</v>
      </c>
      <c r="K18" s="107">
        <v>6.08E-2</v>
      </c>
      <c r="L18" s="106">
        <v>23.425446497087975</v>
      </c>
      <c r="M18" s="106">
        <v>4.9597324652455228</v>
      </c>
      <c r="N18" s="107">
        <v>0.41909999999999997</v>
      </c>
      <c r="O18" s="106">
        <v>5.9</v>
      </c>
      <c r="P18" s="106">
        <v>4.9181818181818189</v>
      </c>
      <c r="Q18" s="106">
        <v>13.0625</v>
      </c>
      <c r="R18" s="107">
        <v>0.95709999999999995</v>
      </c>
      <c r="S18" s="107">
        <v>0.47260000000000002</v>
      </c>
      <c r="T18" s="106">
        <v>273.54718286629173</v>
      </c>
      <c r="U18" s="106">
        <v>398.23259045049599</v>
      </c>
      <c r="V18" s="106">
        <v>16.963254359960299</v>
      </c>
      <c r="W18" s="107">
        <v>2.2578453963317799E-2</v>
      </c>
      <c r="X18" s="107">
        <v>-5.3199999999999997E-2</v>
      </c>
      <c r="Y18" s="107">
        <v>0.92371382182120698</v>
      </c>
      <c r="Z18" s="106">
        <v>4.8466441028457883</v>
      </c>
      <c r="AA18" s="106">
        <v>20.05</v>
      </c>
      <c r="AB18" s="107">
        <v>0.23874930098104899</v>
      </c>
      <c r="AC18" s="107">
        <v>9.9774943735933999E-2</v>
      </c>
      <c r="AD18" s="106">
        <v>3.72</v>
      </c>
      <c r="AE18" s="106">
        <v>41.2</v>
      </c>
      <c r="AF18" s="106">
        <v>131.66716479397724</v>
      </c>
      <c r="AG18" s="106">
        <v>4.038870085704823</v>
      </c>
      <c r="AH18" s="107">
        <v>1.9800000000000002E-2</v>
      </c>
      <c r="AI18" s="107">
        <v>0.1439</v>
      </c>
      <c r="AJ18" s="107">
        <v>0.1142</v>
      </c>
      <c r="AK18" s="107">
        <v>0.2918</v>
      </c>
    </row>
    <row r="19" spans="1:37" ht="12.75" customHeight="1" x14ac:dyDescent="0.25">
      <c r="A19" s="105" t="s">
        <v>70</v>
      </c>
      <c r="B19" s="106">
        <v>2.5673940949935798</v>
      </c>
      <c r="C19" s="107">
        <v>0.110842645726367</v>
      </c>
      <c r="D19" s="106">
        <v>88.818711141813907</v>
      </c>
      <c r="E19" s="106">
        <v>11.85</v>
      </c>
      <c r="F19" s="107">
        <v>0.98770000000000002</v>
      </c>
      <c r="G19" s="107">
        <v>0.9607</v>
      </c>
      <c r="H19" s="107">
        <v>0.99109999999999998</v>
      </c>
      <c r="I19" s="107">
        <v>0.11027145521919041</v>
      </c>
      <c r="J19" s="107">
        <v>0.96260000000000001</v>
      </c>
      <c r="K19" s="107">
        <v>3.2500000000000001E-2</v>
      </c>
      <c r="L19" s="106">
        <v>12.152831751110005</v>
      </c>
      <c r="M19" s="106">
        <v>7.5121457661512547</v>
      </c>
      <c r="N19" s="107">
        <v>0.43880000000000002</v>
      </c>
      <c r="O19" s="106">
        <v>5.8818181818181818</v>
      </c>
      <c r="P19" s="106">
        <v>5.2772727272727273</v>
      </c>
      <c r="Q19" s="106">
        <v>9.0890909090909098</v>
      </c>
      <c r="R19" s="107">
        <v>0.97909999999999997</v>
      </c>
      <c r="S19" s="107">
        <v>0.58879999999999999</v>
      </c>
      <c r="T19" s="106">
        <v>242.95824624778402</v>
      </c>
      <c r="U19" s="106">
        <v>279.79775426974197</v>
      </c>
      <c r="V19" s="106">
        <v>12.7180797395337</v>
      </c>
      <c r="W19" s="107">
        <v>3.0992224435722499E-2</v>
      </c>
      <c r="X19" s="107">
        <v>-1.2500000000000001E-2</v>
      </c>
      <c r="Y19" s="107">
        <v>0.67319904925288299</v>
      </c>
      <c r="Z19" s="106">
        <v>9.0439678147795401</v>
      </c>
      <c r="AA19" s="106">
        <v>28.05</v>
      </c>
      <c r="AB19" s="107">
        <v>0.25523015674495297</v>
      </c>
      <c r="AC19" s="107">
        <v>8.63192182410423E-2</v>
      </c>
      <c r="AD19" s="106">
        <v>2.77</v>
      </c>
      <c r="AE19" s="106">
        <v>32.659999999999997</v>
      </c>
      <c r="AF19" s="106">
        <v>139.33362914644727</v>
      </c>
      <c r="AG19" s="106">
        <v>3.1088639363304669</v>
      </c>
      <c r="AH19" s="107">
        <v>1.09E-2</v>
      </c>
      <c r="AI19" s="107">
        <v>0.24110000000000001</v>
      </c>
      <c r="AJ19" s="107">
        <v>0.17760000000000001</v>
      </c>
      <c r="AK19" s="107">
        <v>0.38979999999999998</v>
      </c>
    </row>
    <row r="20" spans="1:37" ht="12.75" customHeight="1" x14ac:dyDescent="0.25">
      <c r="A20" s="105" t="s">
        <v>71</v>
      </c>
      <c r="B20" s="106">
        <v>2.7298536798427602</v>
      </c>
      <c r="C20" s="107">
        <v>0.105810397553517</v>
      </c>
      <c r="D20" s="106">
        <v>79.856258734278299</v>
      </c>
      <c r="E20" s="106">
        <v>6.29</v>
      </c>
      <c r="F20" s="107">
        <v>0.998</v>
      </c>
      <c r="G20" s="107">
        <v>0.9778</v>
      </c>
      <c r="H20" s="107">
        <v>0.996</v>
      </c>
      <c r="I20" s="107">
        <v>4.1517206038866335E-2</v>
      </c>
      <c r="J20" s="107">
        <v>0.9768</v>
      </c>
      <c r="K20" s="107">
        <v>3.8800000000000001E-2</v>
      </c>
      <c r="L20" s="106">
        <v>22.480371825349991</v>
      </c>
      <c r="M20" s="106">
        <v>6.8115526630810477</v>
      </c>
      <c r="N20" s="107">
        <v>0.50119999999999998</v>
      </c>
      <c r="O20" s="106">
        <v>6.0208333333333321</v>
      </c>
      <c r="P20" s="106">
        <v>5.2928571428571427</v>
      </c>
      <c r="Q20" s="106">
        <v>17.45</v>
      </c>
      <c r="R20" s="107">
        <v>0.96579999999999999</v>
      </c>
      <c r="S20" s="107">
        <v>0.54210000000000003</v>
      </c>
      <c r="T20" s="106">
        <v>242.66359615612254</v>
      </c>
      <c r="U20" s="106">
        <v>354.06585624926203</v>
      </c>
      <c r="V20" s="106">
        <v>11.802195208308699</v>
      </c>
      <c r="W20" s="107">
        <v>4.0956909558115699E-2</v>
      </c>
      <c r="X20" s="107">
        <v>-6.3600000000000004E-2</v>
      </c>
      <c r="Y20" s="107">
        <v>0.67898591042695799</v>
      </c>
      <c r="Z20" s="106">
        <v>12.926213799576244</v>
      </c>
      <c r="AA20" s="106">
        <v>31.39</v>
      </c>
      <c r="AB20" s="107">
        <v>0.236527539357516</v>
      </c>
      <c r="AC20" s="107">
        <v>7.9407806191117106E-2</v>
      </c>
      <c r="AD20" s="106">
        <v>1.48</v>
      </c>
      <c r="AE20" s="106">
        <v>49.82</v>
      </c>
      <c r="AF20" s="106">
        <v>127.01410081322746</v>
      </c>
      <c r="AG20" s="106">
        <v>5.6200929563374977</v>
      </c>
      <c r="AH20" s="107">
        <v>1.4200000000000001E-2</v>
      </c>
      <c r="AI20" s="107">
        <v>0.18179999999999999</v>
      </c>
      <c r="AJ20" s="107">
        <v>0.12870000000000001</v>
      </c>
      <c r="AK20" s="107">
        <v>0.36559999999999998</v>
      </c>
    </row>
    <row r="21" spans="1:37" ht="12.75" customHeight="1" x14ac:dyDescent="0.25">
      <c r="A21" s="105" t="s">
        <v>72</v>
      </c>
      <c r="B21" s="106">
        <v>4.0023201856148498</v>
      </c>
      <c r="C21" s="107">
        <v>0.10403675746636</v>
      </c>
      <c r="D21" s="106">
        <v>127.320954907162</v>
      </c>
      <c r="E21" s="106">
        <v>11.49</v>
      </c>
      <c r="F21" s="107">
        <v>0.99070000000000003</v>
      </c>
      <c r="G21" s="107">
        <v>0.92110000000000003</v>
      </c>
      <c r="H21" s="107">
        <v>0.99350000000000005</v>
      </c>
      <c r="I21" s="107">
        <v>7.8141482465676204E-2</v>
      </c>
      <c r="J21" s="107">
        <v>0.96050000000000002</v>
      </c>
      <c r="K21" s="107">
        <v>6.3899999999999998E-2</v>
      </c>
      <c r="L21" s="106">
        <v>33.452055333635059</v>
      </c>
      <c r="M21" s="106">
        <v>9.9011524561023769</v>
      </c>
      <c r="N21" s="107">
        <v>0.43099999999999999</v>
      </c>
      <c r="O21" s="106">
        <v>6.0204545454545446</v>
      </c>
      <c r="P21" s="106">
        <v>5.2962962962962967</v>
      </c>
      <c r="Q21" s="106">
        <v>13.201111111111111</v>
      </c>
      <c r="R21" s="107">
        <v>0.95850000000000002</v>
      </c>
      <c r="S21" s="107">
        <v>0.4743</v>
      </c>
      <c r="T21" s="106">
        <v>257.49997815328237</v>
      </c>
      <c r="U21" s="106">
        <v>305.98791790472097</v>
      </c>
      <c r="V21" s="106">
        <v>14.1023370524148</v>
      </c>
      <c r="W21" s="107">
        <v>3.3858514081417401E-3</v>
      </c>
      <c r="X21" s="107">
        <v>-2.5999999999999999E-3</v>
      </c>
      <c r="Y21" s="107">
        <v>0.85876673422670002</v>
      </c>
      <c r="Z21" s="106">
        <v>11.47864643801203</v>
      </c>
      <c r="AA21" s="106">
        <v>33.83</v>
      </c>
      <c r="AB21" s="107">
        <v>0.24537054903104299</v>
      </c>
      <c r="AC21" s="107">
        <v>0.104363001745201</v>
      </c>
      <c r="AD21" s="106">
        <v>0.81</v>
      </c>
      <c r="AE21" s="106">
        <v>20.190000000000001</v>
      </c>
      <c r="AF21" s="106">
        <v>195.13698944620452</v>
      </c>
      <c r="AG21" s="106">
        <v>9.1829171504096241</v>
      </c>
      <c r="AH21" s="107">
        <v>1.72E-2</v>
      </c>
      <c r="AI21" s="107">
        <v>0.1235</v>
      </c>
      <c r="AJ21" s="107">
        <v>9.0200000000000002E-2</v>
      </c>
      <c r="AK21" s="107">
        <v>0.2505</v>
      </c>
    </row>
    <row r="22" spans="1:37" ht="12.75" customHeight="1" x14ac:dyDescent="0.25">
      <c r="A22" s="105" t="s">
        <v>73</v>
      </c>
      <c r="B22" s="106">
        <v>2.4399107096506301</v>
      </c>
      <c r="C22" s="107">
        <v>9.4066366704162005E-2</v>
      </c>
      <c r="D22" s="106">
        <v>110.000916674306</v>
      </c>
      <c r="E22" s="106">
        <v>5.04</v>
      </c>
      <c r="F22" s="107">
        <v>0.97919999999999996</v>
      </c>
      <c r="G22" s="107">
        <v>0.81669999999999998</v>
      </c>
      <c r="H22" s="107">
        <v>0.96540000000000004</v>
      </c>
      <c r="I22" s="107">
        <v>0.27541038057444539</v>
      </c>
      <c r="J22" s="107">
        <v>0.93210000000000004</v>
      </c>
      <c r="K22" s="107">
        <v>6.2300000000000001E-2</v>
      </c>
      <c r="L22" s="106">
        <v>24.158492771223969</v>
      </c>
      <c r="M22" s="106">
        <v>2.711301114392096</v>
      </c>
      <c r="N22" s="107">
        <v>0.47920000000000001</v>
      </c>
      <c r="O22" s="106">
        <v>6.2096153846153852</v>
      </c>
      <c r="P22" s="106">
        <v>5.18</v>
      </c>
      <c r="Q22" s="106">
        <v>9.4208333333333325</v>
      </c>
      <c r="R22" s="107">
        <v>0.96550000000000002</v>
      </c>
      <c r="S22" s="107">
        <v>0.53969999999999996</v>
      </c>
      <c r="T22" s="106">
        <v>207.71898588623677</v>
      </c>
      <c r="U22" s="106">
        <v>177.271102361819</v>
      </c>
      <c r="V22" s="106">
        <v>9.3042843781065301</v>
      </c>
      <c r="W22" s="107">
        <v>2.3243885590214598E-2</v>
      </c>
      <c r="X22" s="107">
        <v>-2.7699999999999999E-2</v>
      </c>
      <c r="Y22" s="107">
        <v>0.48667936619867702</v>
      </c>
      <c r="Z22" s="106">
        <v>11.426314148551878</v>
      </c>
      <c r="AA22" s="106">
        <v>32.28</v>
      </c>
      <c r="AB22" s="107">
        <v>0.230050589787269</v>
      </c>
      <c r="AC22" s="107">
        <v>7.9146093523090294E-2</v>
      </c>
      <c r="AD22" s="106">
        <v>0.17</v>
      </c>
      <c r="AE22" s="106">
        <v>9.52</v>
      </c>
      <c r="AF22" s="106">
        <v>168.61975022077272</v>
      </c>
      <c r="AG22" s="106">
        <v>4.4072926001557242</v>
      </c>
      <c r="AH22" s="107">
        <v>1.9699999999999999E-2</v>
      </c>
      <c r="AI22" s="107">
        <v>0.1976</v>
      </c>
      <c r="AJ22" s="107">
        <v>0.1172</v>
      </c>
      <c r="AK22" s="107">
        <v>0.29099999999999998</v>
      </c>
    </row>
    <row r="23" spans="1:37" ht="12.75" customHeight="1" x14ac:dyDescent="0.25">
      <c r="A23" s="105" t="s">
        <v>75</v>
      </c>
      <c r="B23" s="106">
        <v>3.0699412706887301</v>
      </c>
      <c r="C23" s="107">
        <v>0.112334250688016</v>
      </c>
      <c r="D23" s="106">
        <v>143.97696368581001</v>
      </c>
      <c r="E23" s="106">
        <v>6.4</v>
      </c>
      <c r="F23" s="107">
        <v>0.99309999999999998</v>
      </c>
      <c r="G23" s="107">
        <v>0.92279999999999995</v>
      </c>
      <c r="H23" s="107">
        <v>0.9919</v>
      </c>
      <c r="I23" s="107">
        <v>0.19572231242772203</v>
      </c>
      <c r="J23" s="107">
        <v>0.92769999999999997</v>
      </c>
      <c r="K23" s="107">
        <v>6.93E-2</v>
      </c>
      <c r="L23" s="106">
        <v>15.377263414888031</v>
      </c>
      <c r="M23" s="106">
        <v>2.6993011625211141</v>
      </c>
      <c r="N23" s="107">
        <v>0.42149999999999999</v>
      </c>
      <c r="O23" s="106">
        <v>5.7641509433962286</v>
      </c>
      <c r="P23" s="106">
        <v>5.0409090909090901</v>
      </c>
      <c r="Q23" s="106">
        <v>7.6310606060606068</v>
      </c>
      <c r="R23" s="107">
        <v>0.95069999999999999</v>
      </c>
      <c r="S23" s="107">
        <v>0.36649999999999999</v>
      </c>
      <c r="T23" s="106">
        <v>231.39687651259965</v>
      </c>
      <c r="U23" s="106">
        <v>425.59533666743999</v>
      </c>
      <c r="V23" s="106">
        <v>15.8504099815</v>
      </c>
      <c r="W23" s="107">
        <v>1.0845592728082099E-2</v>
      </c>
      <c r="X23" s="107">
        <v>-3.7400000000000003E-2</v>
      </c>
      <c r="Y23" s="107">
        <v>0.316232239260756</v>
      </c>
      <c r="Z23" s="106">
        <v>11.118944315380576</v>
      </c>
      <c r="AA23" s="106">
        <v>21.39</v>
      </c>
      <c r="AB23" s="107">
        <v>0.23831345460364001</v>
      </c>
      <c r="AC23" s="107">
        <v>0.112715298885512</v>
      </c>
      <c r="AD23" s="106">
        <v>11.91</v>
      </c>
      <c r="AE23" s="106">
        <v>10.48</v>
      </c>
      <c r="AF23" s="106">
        <v>128.9324394017535</v>
      </c>
      <c r="AG23" s="106">
        <v>3.5485992495895458</v>
      </c>
      <c r="AH23" s="107">
        <v>2.3900000000000001E-2</v>
      </c>
      <c r="AI23" s="107">
        <v>8.09E-2</v>
      </c>
      <c r="AJ23" s="107">
        <v>5.3499999999999999E-2</v>
      </c>
      <c r="AK23" s="107">
        <v>0.1633</v>
      </c>
    </row>
    <row r="24" spans="1:37" ht="12.75" customHeight="1" x14ac:dyDescent="0.25">
      <c r="A24" s="105" t="s">
        <v>77</v>
      </c>
      <c r="B24" s="106">
        <v>2.6320210561684498</v>
      </c>
      <c r="C24" s="107">
        <v>0.10485933503836301</v>
      </c>
      <c r="D24" s="106">
        <v>105.72953378310299</v>
      </c>
      <c r="E24" s="106">
        <v>5.59</v>
      </c>
      <c r="F24" s="107">
        <v>0.98529999999999995</v>
      </c>
      <c r="G24" s="107">
        <v>0.82210000000000005</v>
      </c>
      <c r="H24" s="107">
        <v>0.99470000000000003</v>
      </c>
      <c r="I24" s="107">
        <v>7.9009895145401826E-2</v>
      </c>
      <c r="J24" s="107">
        <v>0.9194</v>
      </c>
      <c r="K24" s="107">
        <v>7.17E-2</v>
      </c>
      <c r="L24" s="106">
        <v>6.652463656759485</v>
      </c>
      <c r="M24" s="106">
        <v>1.6365060595628333</v>
      </c>
      <c r="N24" s="107">
        <v>0.49709999999999999</v>
      </c>
      <c r="O24" s="106">
        <v>6.1782608695652188</v>
      </c>
      <c r="P24" s="106">
        <v>5.3027777777777789</v>
      </c>
      <c r="Q24" s="106">
        <v>8.9190476190476193</v>
      </c>
      <c r="R24" s="107">
        <v>0.95589999999999997</v>
      </c>
      <c r="S24" s="107">
        <v>0.41789999999999999</v>
      </c>
      <c r="T24" s="106">
        <v>268.70081988696705</v>
      </c>
      <c r="U24" s="106">
        <v>560.47006308198695</v>
      </c>
      <c r="V24" s="106">
        <v>9.8123838937202397</v>
      </c>
      <c r="W24" s="107">
        <v>2.50236594586122E-2</v>
      </c>
      <c r="X24" s="107">
        <v>-5.5399999999999998E-2</v>
      </c>
      <c r="Y24" s="107">
        <v>0.30471443468195403</v>
      </c>
      <c r="Z24" s="106">
        <v>0.49893477425696142</v>
      </c>
      <c r="AA24" s="106">
        <v>38.89</v>
      </c>
      <c r="AB24" s="107">
        <v>0.21121421779880001</v>
      </c>
      <c r="AC24" s="107">
        <v>8.4418796372629903E-2</v>
      </c>
      <c r="AD24" s="106">
        <v>1.48</v>
      </c>
      <c r="AE24" s="106">
        <v>15.69</v>
      </c>
      <c r="AF24" s="106">
        <v>165.81265664473017</v>
      </c>
      <c r="AG24" s="106">
        <v>1.3304927313518971</v>
      </c>
      <c r="AH24" s="107">
        <v>2.0400000000000001E-2</v>
      </c>
      <c r="AI24" s="107">
        <v>0.1046</v>
      </c>
      <c r="AJ24" s="107">
        <v>7.9600000000000004E-2</v>
      </c>
      <c r="AK24" s="107">
        <v>0.1777</v>
      </c>
    </row>
    <row r="25" spans="1:37" ht="12.75" customHeight="1" x14ac:dyDescent="0.25">
      <c r="A25" s="105" t="s">
        <v>80</v>
      </c>
      <c r="B25" s="106">
        <v>3.1009448761446099</v>
      </c>
      <c r="C25" s="107">
        <v>0.105812807881773</v>
      </c>
      <c r="D25" s="106">
        <v>173.22127413870501</v>
      </c>
      <c r="E25" s="106">
        <v>10.119999999999999</v>
      </c>
      <c r="F25" s="107">
        <v>0.98109999999999997</v>
      </c>
      <c r="G25" s="107">
        <v>0.76139999999999997</v>
      </c>
      <c r="H25" s="107">
        <v>0.99250000000000005</v>
      </c>
      <c r="I25" s="107">
        <v>0.12558678439438423</v>
      </c>
      <c r="J25" s="107">
        <v>0.88129999999999997</v>
      </c>
      <c r="K25" s="107">
        <v>9.7000000000000003E-2</v>
      </c>
      <c r="L25" s="106">
        <v>17.928441291623056</v>
      </c>
      <c r="M25" s="106">
        <v>1.1290072489049114</v>
      </c>
      <c r="N25" s="107">
        <v>0.44109999999999999</v>
      </c>
      <c r="O25" s="106">
        <v>6.073214285714287</v>
      </c>
      <c r="P25" s="106">
        <v>5.0620689655172404</v>
      </c>
      <c r="Q25" s="106">
        <v>4.0233333333333334</v>
      </c>
      <c r="R25" s="107">
        <v>0.93</v>
      </c>
      <c r="S25" s="107">
        <v>0.30420000000000003</v>
      </c>
      <c r="T25" s="106">
        <v>262.51178754385813</v>
      </c>
      <c r="U25" s="106">
        <v>710.11164088847499</v>
      </c>
      <c r="V25" s="106">
        <v>14.7788502539055</v>
      </c>
      <c r="W25" s="107">
        <v>5.1113235982805999E-5</v>
      </c>
      <c r="X25" s="107">
        <v>-8.1799999999999998E-2</v>
      </c>
      <c r="Y25" s="107">
        <v>0.36573535682443697</v>
      </c>
      <c r="Z25" s="106">
        <v>0.72682870101174546</v>
      </c>
      <c r="AA25" s="106">
        <v>24.13</v>
      </c>
      <c r="AB25" s="107">
        <v>0.21786277582378699</v>
      </c>
      <c r="AC25" s="107">
        <v>0.116377571601452</v>
      </c>
      <c r="AD25" s="106">
        <v>7.05</v>
      </c>
      <c r="AE25" s="106">
        <v>6.42</v>
      </c>
      <c r="AF25" s="106">
        <v>207.38845602201809</v>
      </c>
      <c r="AG25" s="106">
        <v>2.4227623367058184</v>
      </c>
      <c r="AH25" s="107">
        <v>3.1300000000000001E-2</v>
      </c>
      <c r="AI25" s="107">
        <v>4.6399999999999997E-2</v>
      </c>
      <c r="AJ25" s="107">
        <v>3.4099999999999998E-2</v>
      </c>
      <c r="AK25" s="107">
        <v>7.9799999999999996E-2</v>
      </c>
    </row>
    <row r="26" spans="1:37" ht="12.75" customHeight="1" x14ac:dyDescent="0.25">
      <c r="A26" s="105" t="s">
        <v>81</v>
      </c>
      <c r="B26" s="106">
        <v>2.6870607689127701</v>
      </c>
      <c r="C26" s="107">
        <v>9.4530321046373406E-2</v>
      </c>
      <c r="D26" s="106">
        <v>37.043897017966302</v>
      </c>
      <c r="E26" s="106">
        <v>6.79</v>
      </c>
      <c r="F26" s="107">
        <v>0.99060000000000004</v>
      </c>
      <c r="G26" s="107">
        <v>0.95109999999999995</v>
      </c>
      <c r="H26" s="107">
        <v>0.98240000000000005</v>
      </c>
      <c r="I26" s="107">
        <v>0.11380037069444053</v>
      </c>
      <c r="J26" s="107">
        <v>0.97809999999999997</v>
      </c>
      <c r="K26" s="107">
        <v>4.3299999999999998E-2</v>
      </c>
      <c r="L26" s="106">
        <v>11.371389583807142</v>
      </c>
      <c r="M26" s="106">
        <v>1.2887574861648092</v>
      </c>
      <c r="N26" s="107">
        <v>0.54790000000000005</v>
      </c>
      <c r="O26" s="106">
        <v>6.2208333333333341</v>
      </c>
      <c r="P26" s="106">
        <v>5.4785714285714286</v>
      </c>
      <c r="Q26" s="106">
        <v>9.9645833333333318</v>
      </c>
      <c r="R26" s="107">
        <v>0.96940000000000004</v>
      </c>
      <c r="S26" s="107">
        <v>0.56140000000000001</v>
      </c>
      <c r="T26" s="106">
        <v>181.95180051189783</v>
      </c>
      <c r="U26" s="106">
        <v>69.852821729100995</v>
      </c>
      <c r="V26" s="106">
        <v>9.2054106154629203</v>
      </c>
      <c r="W26" s="107">
        <v>5.4722654367003902E-2</v>
      </c>
      <c r="X26" s="107">
        <v>-0.12130000000000001</v>
      </c>
      <c r="Y26" s="107">
        <v>6.2380194288313498E-3</v>
      </c>
      <c r="Z26" s="106">
        <v>1.0829894841721086</v>
      </c>
      <c r="AA26" s="106">
        <v>28.18</v>
      </c>
      <c r="AB26" s="107">
        <v>0.24574263029347901</v>
      </c>
      <c r="AC26" s="107">
        <v>7.06033376123235E-2</v>
      </c>
      <c r="AD26" s="106">
        <v>6.59</v>
      </c>
      <c r="AE26" s="106">
        <v>23.67</v>
      </c>
      <c r="AF26" s="106">
        <v>116.96286429058775</v>
      </c>
      <c r="AG26" s="106">
        <v>3.2489684525163258</v>
      </c>
      <c r="AH26" s="107">
        <v>1.5699999999999999E-2</v>
      </c>
      <c r="AI26" s="107">
        <v>0.27839999999999998</v>
      </c>
      <c r="AJ26" s="107">
        <v>0.1303</v>
      </c>
      <c r="AK26" s="107">
        <v>0.36570000000000003</v>
      </c>
    </row>
    <row r="27" spans="1:37" ht="12.75" customHeight="1" x14ac:dyDescent="0.25">
      <c r="A27" s="105" t="s">
        <v>82</v>
      </c>
      <c r="B27" s="106">
        <v>2.4024711131449501</v>
      </c>
      <c r="C27" s="107">
        <v>0.11088573360378599</v>
      </c>
      <c r="D27" s="106">
        <v>44.395116537180897</v>
      </c>
      <c r="E27" s="106">
        <v>6.67</v>
      </c>
      <c r="F27" s="107">
        <v>0.97629999999999995</v>
      </c>
      <c r="G27" s="107">
        <v>0.93840000000000001</v>
      </c>
      <c r="H27" s="107">
        <v>0.99629999999999996</v>
      </c>
      <c r="I27" s="107">
        <v>0.15839007567048599</v>
      </c>
      <c r="J27" s="107">
        <v>0.95779999999999998</v>
      </c>
      <c r="K27" s="107">
        <v>7.9600000000000004E-2</v>
      </c>
      <c r="L27" s="106">
        <v>20.319506726457398</v>
      </c>
      <c r="M27" s="106">
        <v>6.6143497757847536</v>
      </c>
      <c r="N27" s="107">
        <v>0.46560000000000001</v>
      </c>
      <c r="O27" s="106">
        <v>6.0058823529411764</v>
      </c>
      <c r="P27" s="106">
        <v>5.34</v>
      </c>
      <c r="Q27" s="106">
        <v>13.195833333333333</v>
      </c>
      <c r="R27" s="107">
        <v>0.94869999999999999</v>
      </c>
      <c r="S27" s="107">
        <v>0.42009999999999997</v>
      </c>
      <c r="T27" s="106">
        <v>245.00895225017834</v>
      </c>
      <c r="U27" s="106">
        <v>190.582959641256</v>
      </c>
      <c r="V27" s="106">
        <v>11.2107623318386</v>
      </c>
      <c r="W27" s="107">
        <v>0</v>
      </c>
      <c r="X27" s="107">
        <v>-1.09E-2</v>
      </c>
      <c r="Y27" s="107">
        <v>0.418042320627803</v>
      </c>
      <c r="Z27" s="106">
        <v>2.8026905829596411</v>
      </c>
      <c r="AA27" s="106">
        <v>20.81</v>
      </c>
      <c r="AB27" s="107">
        <v>0.23856687246477901</v>
      </c>
      <c r="AC27" s="107">
        <v>0.110076206604572</v>
      </c>
      <c r="AD27" s="106">
        <v>0.63</v>
      </c>
      <c r="AE27" s="106">
        <v>47.4</v>
      </c>
      <c r="AF27" s="106">
        <v>145.03923766816143</v>
      </c>
      <c r="AG27" s="106">
        <v>3.5033632286995515</v>
      </c>
      <c r="AH27" s="107">
        <v>2.52E-2</v>
      </c>
      <c r="AI27" s="107">
        <v>0.08</v>
      </c>
      <c r="AJ27" s="107">
        <v>6.4699999999999994E-2</v>
      </c>
      <c r="AK27" s="107">
        <v>0.1915</v>
      </c>
    </row>
    <row r="28" spans="1:37" ht="12.75" customHeight="1" x14ac:dyDescent="0.25">
      <c r="A28" s="105" t="s">
        <v>85</v>
      </c>
      <c r="B28" s="106">
        <v>1.6501650165016499</v>
      </c>
      <c r="C28" s="107">
        <v>0.115384615384615</v>
      </c>
      <c r="D28" s="106">
        <v>196.463654223969</v>
      </c>
      <c r="E28" s="106">
        <v>2.73</v>
      </c>
      <c r="F28" s="107">
        <v>0.99560000000000004</v>
      </c>
      <c r="G28" s="107">
        <v>0.94430000000000003</v>
      </c>
      <c r="H28" s="107">
        <v>0.95889999999999997</v>
      </c>
      <c r="I28" s="107">
        <v>0.21428920490641645</v>
      </c>
      <c r="J28" s="107">
        <v>0.97009999999999996</v>
      </c>
      <c r="K28" s="107">
        <v>5.5599999999999997E-2</v>
      </c>
      <c r="L28" s="106">
        <v>5.5169369965794992</v>
      </c>
      <c r="M28" s="106">
        <v>5.6824451064768837</v>
      </c>
      <c r="N28" s="107">
        <v>0.5786</v>
      </c>
      <c r="O28" s="106">
        <v>6.25</v>
      </c>
      <c r="P28" s="106">
        <v>5.8000000000000007</v>
      </c>
      <c r="Q28" s="106">
        <v>0</v>
      </c>
      <c r="R28" s="107">
        <v>0.97609999999999997</v>
      </c>
      <c r="S28" s="107">
        <v>0.54759999999999998</v>
      </c>
      <c r="T28" s="106">
        <v>174.54734922495766</v>
      </c>
      <c r="U28" s="106">
        <v>526.86748317334195</v>
      </c>
      <c r="V28" s="106">
        <v>16.550810989738501</v>
      </c>
      <c r="W28" s="107">
        <v>0</v>
      </c>
      <c r="X28" s="107">
        <v>-4.7699999999999999E-2</v>
      </c>
      <c r="Y28" s="107">
        <v>0.32831292066644602</v>
      </c>
      <c r="Z28" s="106">
        <v>0</v>
      </c>
      <c r="AA28" s="106">
        <v>36.25</v>
      </c>
      <c r="AB28" s="107">
        <v>0.27727051095446698</v>
      </c>
      <c r="AC28" s="107">
        <v>3.8961038961039002E-2</v>
      </c>
      <c r="AD28" s="106">
        <v>0</v>
      </c>
      <c r="AE28" s="106">
        <v>69.56</v>
      </c>
      <c r="AF28" s="106">
        <v>171.02504689396446</v>
      </c>
      <c r="AG28" s="106">
        <v>0</v>
      </c>
      <c r="AH28" s="107">
        <v>2.3400000000000001E-2</v>
      </c>
      <c r="AI28" s="107">
        <v>0.22900000000000001</v>
      </c>
      <c r="AJ28" s="107">
        <v>0.12529999999999999</v>
      </c>
      <c r="AK28" s="107">
        <v>0.24249999999999999</v>
      </c>
    </row>
    <row r="29" spans="1:37" ht="12.75" customHeight="1" x14ac:dyDescent="0.25">
      <c r="A29" s="105" t="s">
        <v>87</v>
      </c>
      <c r="B29" s="106">
        <v>2.79936290361504</v>
      </c>
      <c r="C29" s="107">
        <v>0.101148851148851</v>
      </c>
      <c r="D29" s="106">
        <v>58.192700972649398</v>
      </c>
      <c r="E29" s="106">
        <v>2.73</v>
      </c>
      <c r="F29" s="107">
        <v>0.93269999999999997</v>
      </c>
      <c r="G29" s="107">
        <v>0.752</v>
      </c>
      <c r="H29" s="107">
        <v>0.98370000000000002</v>
      </c>
      <c r="I29" s="107">
        <v>0.16303607104509962</v>
      </c>
      <c r="J29" s="107">
        <v>0.95720000000000005</v>
      </c>
      <c r="K29" s="107">
        <v>3.8300000000000001E-2</v>
      </c>
      <c r="L29" s="106">
        <v>20.543960832398042</v>
      </c>
      <c r="M29" s="106">
        <v>3.907677602541396</v>
      </c>
      <c r="N29" s="107">
        <v>0.45700000000000002</v>
      </c>
      <c r="O29" s="106">
        <v>6.4249999999999998</v>
      </c>
      <c r="P29" s="106">
        <v>5.7666666666666666</v>
      </c>
      <c r="Q29" s="106">
        <v>7.8812499999999996</v>
      </c>
      <c r="R29" s="107">
        <v>0.98399999999999999</v>
      </c>
      <c r="S29" s="107">
        <v>0.73429999999999995</v>
      </c>
      <c r="T29" s="106">
        <v>161.59525142320001</v>
      </c>
      <c r="U29" s="106">
        <v>118.073711731467</v>
      </c>
      <c r="V29" s="106">
        <v>4.3250443857680096</v>
      </c>
      <c r="W29" s="107">
        <v>6.23602019736956E-2</v>
      </c>
      <c r="X29" s="107">
        <v>-3.1800000000000002E-2</v>
      </c>
      <c r="Y29" s="107">
        <v>0.544328461170833</v>
      </c>
      <c r="Z29" s="106">
        <v>5.6225577014984118</v>
      </c>
      <c r="AA29" s="106">
        <v>47.11</v>
      </c>
      <c r="AB29" s="107">
        <v>0.22270402980322601</v>
      </c>
      <c r="AC29" s="107">
        <v>5.0101729399796499E-2</v>
      </c>
      <c r="AD29" s="106">
        <v>0.33</v>
      </c>
      <c r="AE29" s="106">
        <v>40.450000000000003</v>
      </c>
      <c r="AF29" s="106">
        <v>122.83126055581145</v>
      </c>
      <c r="AG29" s="106">
        <v>5.8388099207868125</v>
      </c>
      <c r="AH29" s="107">
        <v>1.09E-2</v>
      </c>
      <c r="AI29" s="107">
        <v>0.48499999999999999</v>
      </c>
      <c r="AJ29" s="107">
        <v>0.19470000000000001</v>
      </c>
      <c r="AK29" s="107">
        <v>0.48099999999999998</v>
      </c>
    </row>
    <row r="30" spans="1:37" ht="12.75" customHeight="1" x14ac:dyDescent="0.25">
      <c r="A30" s="105" t="s">
        <v>88</v>
      </c>
      <c r="B30" s="106">
        <v>3.6060581777385998</v>
      </c>
      <c r="C30" s="107">
        <v>0.102788181439867</v>
      </c>
      <c r="D30" s="106">
        <v>147.36221632773399</v>
      </c>
      <c r="E30" s="106">
        <v>11.96</v>
      </c>
      <c r="F30" s="107">
        <v>0.99150000000000005</v>
      </c>
      <c r="G30" s="107">
        <v>0.90859999999999996</v>
      </c>
      <c r="H30" s="107">
        <v>0.98870000000000002</v>
      </c>
      <c r="I30" s="107">
        <v>0.22775880812018409</v>
      </c>
      <c r="J30" s="107">
        <v>0.89</v>
      </c>
      <c r="K30" s="107">
        <v>9.2100000000000001E-2</v>
      </c>
      <c r="L30" s="106">
        <v>29.507372005727333</v>
      </c>
      <c r="M30" s="106">
        <v>7.7880112998722959</v>
      </c>
      <c r="N30" s="107">
        <v>0.42409999999999998</v>
      </c>
      <c r="O30" s="106">
        <v>5.4961538461538444</v>
      </c>
      <c r="P30" s="106">
        <v>4.8727272727272721</v>
      </c>
      <c r="Q30" s="106">
        <v>9.6124999999999989</v>
      </c>
      <c r="R30" s="107">
        <v>0.93459999999999999</v>
      </c>
      <c r="S30" s="107">
        <v>0.37159999999999999</v>
      </c>
      <c r="T30" s="106">
        <v>223.07266226899645</v>
      </c>
      <c r="U30" s="106">
        <v>170.272048295345</v>
      </c>
      <c r="V30" s="106">
        <v>14.9955497078286</v>
      </c>
      <c r="W30" s="107">
        <v>0</v>
      </c>
      <c r="X30" s="107">
        <v>-0.12720000000000001</v>
      </c>
      <c r="Y30" s="107">
        <v>0.79278568940830496</v>
      </c>
      <c r="Z30" s="106">
        <v>10.158275608529081</v>
      </c>
      <c r="AA30" s="106">
        <v>28.41</v>
      </c>
      <c r="AB30" s="107">
        <v>0.23573579729827099</v>
      </c>
      <c r="AC30" s="107">
        <v>0.144439094848339</v>
      </c>
      <c r="AD30" s="106">
        <v>3.35</v>
      </c>
      <c r="AE30" s="106">
        <v>19.440000000000001</v>
      </c>
      <c r="AF30" s="106">
        <v>162.04868232653536</v>
      </c>
      <c r="AG30" s="106">
        <v>6.7721837390193871</v>
      </c>
      <c r="AH30" s="107">
        <v>3.2500000000000001E-2</v>
      </c>
      <c r="AI30" s="107">
        <v>5.7599999999999998E-2</v>
      </c>
      <c r="AJ30" s="107">
        <v>4.4999999999999998E-2</v>
      </c>
      <c r="AK30" s="107">
        <v>0.13739999999999999</v>
      </c>
    </row>
    <row r="31" spans="1:37" ht="12.75" customHeight="1" x14ac:dyDescent="0.25">
      <c r="A31" s="105" t="s">
        <v>89</v>
      </c>
      <c r="B31" s="106">
        <v>2.8864929111130002</v>
      </c>
      <c r="C31" s="107">
        <v>9.6507352941176502E-2</v>
      </c>
      <c r="D31" s="106">
        <v>102.59416678880299</v>
      </c>
      <c r="E31" s="106">
        <v>10.84</v>
      </c>
      <c r="F31" s="107">
        <v>0.89</v>
      </c>
      <c r="G31" s="107">
        <v>0.5343</v>
      </c>
      <c r="H31" s="107">
        <v>0.99399999999999999</v>
      </c>
      <c r="I31" s="107">
        <v>0.2254170931007034</v>
      </c>
      <c r="J31" s="107">
        <v>0.84250000000000003</v>
      </c>
      <c r="K31" s="107">
        <v>9.1600000000000001E-2</v>
      </c>
      <c r="L31" s="106">
        <v>16.390755613833797</v>
      </c>
      <c r="M31" s="106">
        <v>1.8368950256882703</v>
      </c>
      <c r="N31" s="107">
        <v>0.42909999999999998</v>
      </c>
      <c r="O31" s="106">
        <v>6.06111111111111</v>
      </c>
      <c r="P31" s="106">
        <v>5.2749999999999995</v>
      </c>
      <c r="Q31" s="106">
        <v>8.4611111111111104</v>
      </c>
      <c r="R31" s="107">
        <v>0.9375</v>
      </c>
      <c r="S31" s="107">
        <v>0.30070000000000002</v>
      </c>
      <c r="T31" s="106">
        <v>307.91354735016711</v>
      </c>
      <c r="U31" s="106">
        <v>1429.9521276896401</v>
      </c>
      <c r="V31" s="106">
        <v>6.78238163331054</v>
      </c>
      <c r="W31" s="107">
        <v>2.9337141723128398E-3</v>
      </c>
      <c r="X31" s="107">
        <v>-2.4199999999999999E-2</v>
      </c>
      <c r="Y31" s="107">
        <v>0.105969061035783</v>
      </c>
      <c r="Z31" s="106">
        <v>1.1303969388850896</v>
      </c>
      <c r="AA31" s="106">
        <v>28.62</v>
      </c>
      <c r="AB31" s="107">
        <v>0.20648023476733299</v>
      </c>
      <c r="AC31" s="107">
        <v>0.117478510028653</v>
      </c>
      <c r="AD31" s="106">
        <v>8.93</v>
      </c>
      <c r="AE31" s="106">
        <v>24.42</v>
      </c>
      <c r="AF31" s="106">
        <v>204.60184593820122</v>
      </c>
      <c r="AG31" s="106">
        <v>3.9563892860978132</v>
      </c>
      <c r="AH31" s="107">
        <v>3.1699999999999999E-2</v>
      </c>
      <c r="AI31" s="107">
        <v>5.45E-2</v>
      </c>
      <c r="AJ31" s="107">
        <v>3.2000000000000001E-2</v>
      </c>
      <c r="AK31" s="107">
        <v>6.2700000000000006E-2</v>
      </c>
    </row>
    <row r="32" spans="1:37" ht="12.75" customHeight="1" x14ac:dyDescent="0.25">
      <c r="A32" s="105" t="s">
        <v>90</v>
      </c>
      <c r="B32" s="106">
        <v>3.15872598052119</v>
      </c>
      <c r="C32" s="107">
        <v>0.10457516339869299</v>
      </c>
      <c r="D32" s="106">
        <v>293.25513196480898</v>
      </c>
      <c r="E32" s="106">
        <v>2.73</v>
      </c>
      <c r="F32" s="107">
        <v>0.9869</v>
      </c>
      <c r="G32" s="107">
        <v>0.84199999999999997</v>
      </c>
      <c r="H32" s="107">
        <v>0.98260000000000003</v>
      </c>
      <c r="I32" s="107">
        <v>0.99992790818386301</v>
      </c>
      <c r="J32" s="107">
        <v>0.91049999999999998</v>
      </c>
      <c r="K32" s="107">
        <v>0.1096</v>
      </c>
      <c r="L32" s="106">
        <v>2.8211132112731683</v>
      </c>
      <c r="M32" s="106">
        <v>4.2316698169097527E-2</v>
      </c>
      <c r="N32" s="107">
        <v>0.34860000000000002</v>
      </c>
      <c r="O32" s="106">
        <v>5.5</v>
      </c>
      <c r="P32" s="106">
        <v>5.2431005392944972</v>
      </c>
      <c r="Q32" s="106">
        <v>10.23</v>
      </c>
      <c r="R32" s="107">
        <v>0.92390000000000005</v>
      </c>
      <c r="S32" s="107">
        <v>0.40339999999999998</v>
      </c>
      <c r="T32" s="106">
        <v>101.45865192330314</v>
      </c>
      <c r="U32" s="106">
        <v>303.26967021186601</v>
      </c>
      <c r="V32" s="106">
        <v>22.568905690185399</v>
      </c>
      <c r="W32" s="107">
        <v>0</v>
      </c>
      <c r="X32" s="107">
        <v>-1.14E-2</v>
      </c>
      <c r="Y32" s="107">
        <v>0.79774028831777</v>
      </c>
      <c r="Z32" s="106">
        <v>0</v>
      </c>
      <c r="AA32" s="106">
        <v>30.71</v>
      </c>
      <c r="AB32" s="107">
        <v>0.19651051877853901</v>
      </c>
      <c r="AC32" s="107">
        <v>0.100463678516229</v>
      </c>
      <c r="AD32" s="106">
        <v>0</v>
      </c>
      <c r="AE32" s="106">
        <v>2.15</v>
      </c>
      <c r="AF32" s="106">
        <v>122.71842469038282</v>
      </c>
      <c r="AG32" s="106">
        <v>1.4105566056365844</v>
      </c>
      <c r="AH32" s="107">
        <v>4.2900000000000001E-2</v>
      </c>
      <c r="AI32" s="107">
        <v>1.9199999999999998E-2</v>
      </c>
      <c r="AJ32" s="107">
        <v>2.1600000000000001E-2</v>
      </c>
      <c r="AK32" s="107">
        <v>4.6399999999999997E-2</v>
      </c>
    </row>
    <row r="33" spans="1:37" ht="12.75" customHeight="1" x14ac:dyDescent="0.25">
      <c r="A33" s="105" t="s">
        <v>91</v>
      </c>
      <c r="B33" s="106">
        <v>5.3285968028419202</v>
      </c>
      <c r="C33" s="107">
        <v>0.132530120481928</v>
      </c>
      <c r="D33" s="106">
        <v>188.67924528301899</v>
      </c>
      <c r="E33" s="106">
        <v>20.62</v>
      </c>
      <c r="F33" s="107">
        <v>0.98599999999999999</v>
      </c>
      <c r="G33" s="107">
        <v>0.94630000000000003</v>
      </c>
      <c r="H33" s="107">
        <v>0.97660000000000002</v>
      </c>
      <c r="I33" s="107">
        <v>0.88482782314543196</v>
      </c>
      <c r="J33" s="107">
        <v>0.81810000000000005</v>
      </c>
      <c r="K33" s="107">
        <v>0.15890000000000001</v>
      </c>
      <c r="L33" s="106">
        <v>8.4870431141790199</v>
      </c>
      <c r="M33" s="106">
        <v>0.11316057485572027</v>
      </c>
      <c r="N33" s="107">
        <v>0.25509999999999999</v>
      </c>
      <c r="O33" s="106">
        <v>5.2</v>
      </c>
      <c r="P33" s="106">
        <v>5.2431005392944972</v>
      </c>
      <c r="Q33" s="106">
        <v>10.23</v>
      </c>
      <c r="R33" s="107">
        <v>0.89129999999999998</v>
      </c>
      <c r="S33" s="107">
        <v>0.29110000000000003</v>
      </c>
      <c r="T33" s="106">
        <v>38.291121929872546</v>
      </c>
      <c r="U33" s="106">
        <v>574.28991739278001</v>
      </c>
      <c r="V33" s="106">
        <v>2.82901437139301</v>
      </c>
      <c r="W33" s="107">
        <v>0</v>
      </c>
      <c r="X33" s="107">
        <v>-2.3800000000000002E-2</v>
      </c>
      <c r="Y33" s="107">
        <v>0.94093017992531403</v>
      </c>
      <c r="Z33" s="106">
        <v>2.8290143713930069</v>
      </c>
      <c r="AA33" s="106">
        <v>20.86</v>
      </c>
      <c r="AB33" s="107">
        <v>0.245838567559027</v>
      </c>
      <c r="AC33" s="107">
        <v>0.131410256410256</v>
      </c>
      <c r="AD33" s="106">
        <v>0</v>
      </c>
      <c r="AE33" s="106">
        <v>1.78</v>
      </c>
      <c r="AF33" s="106">
        <v>33.94817245671608</v>
      </c>
      <c r="AG33" s="106">
        <v>2.8290143713930069</v>
      </c>
      <c r="AH33" s="107">
        <v>3.5000000000000003E-2</v>
      </c>
      <c r="AI33" s="107">
        <v>1.1299999999999999E-2</v>
      </c>
      <c r="AJ33" s="107">
        <v>1.44E-2</v>
      </c>
      <c r="AK33" s="107">
        <v>8.1000000000000003E-2</v>
      </c>
    </row>
    <row r="34" spans="1:37" ht="12.75" customHeight="1" x14ac:dyDescent="0.25">
      <c r="A34" s="105" t="s">
        <v>93</v>
      </c>
      <c r="B34" s="106">
        <v>6.2805303558967198</v>
      </c>
      <c r="C34" s="107">
        <v>0.12413793103448301</v>
      </c>
      <c r="D34" s="106">
        <v>339.55857385399003</v>
      </c>
      <c r="E34" s="106">
        <v>7.71</v>
      </c>
      <c r="F34" s="107">
        <v>0.99690000000000001</v>
      </c>
      <c r="G34" s="107">
        <v>0.94530000000000003</v>
      </c>
      <c r="H34" s="107">
        <v>0.99029999999999996</v>
      </c>
      <c r="I34" s="107">
        <v>0.23091274604804535</v>
      </c>
      <c r="J34" s="107">
        <v>0.66</v>
      </c>
      <c r="K34" s="107">
        <v>8.8800000000000004E-2</v>
      </c>
      <c r="L34" s="106">
        <v>3.6899007416700491</v>
      </c>
      <c r="M34" s="106">
        <v>0.25829305191690344</v>
      </c>
      <c r="N34" s="107">
        <v>0.41460000000000002</v>
      </c>
      <c r="O34" s="106">
        <v>5.996342357181593</v>
      </c>
      <c r="P34" s="106">
        <v>5.2431005392944972</v>
      </c>
      <c r="Q34" s="106">
        <v>10.23</v>
      </c>
      <c r="R34" s="107">
        <v>0.91669999999999996</v>
      </c>
      <c r="S34" s="107">
        <v>0.30449999999999999</v>
      </c>
      <c r="T34" s="106">
        <v>20.878383416598314</v>
      </c>
      <c r="U34" s="106">
        <v>603.29877126305303</v>
      </c>
      <c r="V34" s="106">
        <v>7.3798014833401</v>
      </c>
      <c r="W34" s="107">
        <v>0</v>
      </c>
      <c r="X34" s="107">
        <v>-5.5999999999999999E-3</v>
      </c>
      <c r="Y34" s="107">
        <v>0.16469871960444299</v>
      </c>
      <c r="Z34" s="106">
        <v>0</v>
      </c>
      <c r="AA34" s="106">
        <v>25.68</v>
      </c>
      <c r="AB34" s="107">
        <v>0.245838567559027</v>
      </c>
      <c r="AC34" s="107">
        <v>0.146341463414634</v>
      </c>
      <c r="AD34" s="106">
        <v>14.46</v>
      </c>
      <c r="AE34" s="106">
        <v>56.82</v>
      </c>
      <c r="AF34" s="106">
        <v>38.743957787535514</v>
      </c>
      <c r="AG34" s="106">
        <v>1.8449503708350248</v>
      </c>
      <c r="AH34" s="107">
        <v>4.0899999999999999E-2</v>
      </c>
      <c r="AI34" s="107">
        <v>1.6400000000000001E-2</v>
      </c>
      <c r="AJ34" s="107">
        <v>1.4500000000000001E-2</v>
      </c>
      <c r="AK34" s="107">
        <v>3.8899999999999997E-2</v>
      </c>
    </row>
    <row r="35" spans="1:37" ht="12.75" customHeight="1" x14ac:dyDescent="0.25">
      <c r="A35" s="105" t="s">
        <v>206</v>
      </c>
      <c r="B35" s="106">
        <v>5.2860696517412897</v>
      </c>
      <c r="C35" s="107">
        <v>0.109311740890688</v>
      </c>
      <c r="D35" s="106">
        <v>148.85382554331599</v>
      </c>
      <c r="E35" s="106">
        <v>7.42</v>
      </c>
      <c r="F35" s="107">
        <v>0.99860000000000004</v>
      </c>
      <c r="G35" s="107">
        <v>0.92549999999999999</v>
      </c>
      <c r="H35" s="107">
        <v>0.95150000000000001</v>
      </c>
      <c r="I35" s="107">
        <v>0.10135624566540803</v>
      </c>
      <c r="J35" s="107">
        <v>0.93079999999999996</v>
      </c>
      <c r="K35" s="107">
        <v>0.113</v>
      </c>
      <c r="L35" s="106">
        <v>4.8064598820815174</v>
      </c>
      <c r="M35" s="106">
        <v>0.94527044347603184</v>
      </c>
      <c r="N35" s="107">
        <v>0.45450000000000002</v>
      </c>
      <c r="O35" s="106">
        <v>5.7</v>
      </c>
      <c r="P35" s="106">
        <v>4.875</v>
      </c>
      <c r="Q35" s="106">
        <v>16.850000000000001</v>
      </c>
      <c r="R35" s="107">
        <v>0.92110000000000003</v>
      </c>
      <c r="S35" s="107">
        <v>0.31030000000000002</v>
      </c>
      <c r="T35" s="106">
        <v>86.383160831180362</v>
      </c>
      <c r="U35" s="106">
        <v>162.61855934375799</v>
      </c>
      <c r="V35" s="106">
        <v>8.8118431171494507</v>
      </c>
      <c r="W35" s="107">
        <v>0</v>
      </c>
      <c r="X35" s="107">
        <v>-8.3299999999999999E-2</v>
      </c>
      <c r="Y35" s="107">
        <v>0.373493975903614</v>
      </c>
      <c r="Z35" s="106">
        <v>2.4032299410407592</v>
      </c>
      <c r="AA35" s="106">
        <v>27.79</v>
      </c>
      <c r="AB35" s="107">
        <v>0.245838567559027</v>
      </c>
      <c r="AC35" s="107">
        <v>0.14118412491867299</v>
      </c>
      <c r="AD35" s="106">
        <v>0</v>
      </c>
      <c r="AE35" s="106">
        <v>19.579999999999998</v>
      </c>
      <c r="AF35" s="106">
        <v>34.446295821584208</v>
      </c>
      <c r="AG35" s="106">
        <v>0.80107664701358627</v>
      </c>
      <c r="AH35" s="107">
        <v>4.0399999999999998E-2</v>
      </c>
      <c r="AI35" s="107">
        <v>1.84E-2</v>
      </c>
      <c r="AJ35" s="107">
        <v>1.2200000000000001E-2</v>
      </c>
      <c r="AK35" s="107">
        <v>7.6100000000000001E-2</v>
      </c>
    </row>
    <row r="36" spans="1:37" ht="12.75" customHeight="1" x14ac:dyDescent="0.25">
      <c r="A36" s="105" t="s">
        <v>97</v>
      </c>
      <c r="B36" s="106">
        <v>3.5811488325454799</v>
      </c>
      <c r="C36" s="107">
        <v>0.108479755538579</v>
      </c>
      <c r="D36" s="106">
        <v>101.54861640010201</v>
      </c>
      <c r="E36" s="106">
        <v>12.59</v>
      </c>
      <c r="F36" s="107">
        <v>0.9919</v>
      </c>
      <c r="G36" s="107">
        <v>0.90510000000000002</v>
      </c>
      <c r="H36" s="107">
        <v>0.99470000000000003</v>
      </c>
      <c r="I36" s="107">
        <v>0.14837226722283012</v>
      </c>
      <c r="J36" s="107">
        <v>0.92069999999999996</v>
      </c>
      <c r="K36" s="107">
        <v>8.7900000000000006E-2</v>
      </c>
      <c r="L36" s="106">
        <v>12.541880923799114</v>
      </c>
      <c r="M36" s="106">
        <v>3.1265117445756365</v>
      </c>
      <c r="N36" s="107">
        <v>0.46450000000000002</v>
      </c>
      <c r="O36" s="106">
        <v>5.866666666666668</v>
      </c>
      <c r="P36" s="106">
        <v>5.0249999999999995</v>
      </c>
      <c r="Q36" s="106">
        <v>12.775</v>
      </c>
      <c r="R36" s="107">
        <v>0.94810000000000005</v>
      </c>
      <c r="S36" s="107">
        <v>0.41710000000000003</v>
      </c>
      <c r="T36" s="106">
        <v>229.19094813088131</v>
      </c>
      <c r="U36" s="106">
        <v>296.52589898410798</v>
      </c>
      <c r="V36" s="106">
        <v>12.5418809237991</v>
      </c>
      <c r="W36" s="107">
        <v>0</v>
      </c>
      <c r="X36" s="107">
        <v>0.01</v>
      </c>
      <c r="Y36" s="107">
        <v>0.57300270546288501</v>
      </c>
      <c r="Z36" s="106">
        <v>6.2709404618995572</v>
      </c>
      <c r="AA36" s="106">
        <v>27.37</v>
      </c>
      <c r="AB36" s="107">
        <v>0.23986549700019599</v>
      </c>
      <c r="AC36" s="107">
        <v>0.109851787271142</v>
      </c>
      <c r="AD36" s="106">
        <v>3.67</v>
      </c>
      <c r="AE36" s="106">
        <v>1.78</v>
      </c>
      <c r="AF36" s="106">
        <v>145.12747926110404</v>
      </c>
      <c r="AG36" s="106">
        <v>0.89584863741422238</v>
      </c>
      <c r="AH36" s="107">
        <v>2.75E-2</v>
      </c>
      <c r="AI36" s="107">
        <v>6.6400000000000001E-2</v>
      </c>
      <c r="AJ36" s="107">
        <v>4.7399999999999998E-2</v>
      </c>
      <c r="AK36" s="107">
        <v>0.1618</v>
      </c>
    </row>
    <row r="37" spans="1:37" ht="12.75" customHeight="1" x14ac:dyDescent="0.25">
      <c r="A37" s="105" t="s">
        <v>99</v>
      </c>
      <c r="B37" s="106">
        <v>2.0349064725678998</v>
      </c>
      <c r="C37" s="107">
        <v>0.10621761658031099</v>
      </c>
      <c r="D37" s="106">
        <v>138.312586445367</v>
      </c>
      <c r="E37" s="106">
        <v>6.06</v>
      </c>
      <c r="F37" s="107">
        <v>0.99250000000000005</v>
      </c>
      <c r="G37" s="107">
        <v>0.89370000000000005</v>
      </c>
      <c r="H37" s="107">
        <v>0.9929</v>
      </c>
      <c r="I37" s="107">
        <v>9.0549204546389803E-2</v>
      </c>
      <c r="J37" s="107">
        <v>0.96</v>
      </c>
      <c r="K37" s="107">
        <v>7.0099999999999996E-2</v>
      </c>
      <c r="L37" s="106">
        <v>23.381080735312931</v>
      </c>
      <c r="M37" s="106">
        <v>3.5115736349639799</v>
      </c>
      <c r="N37" s="107">
        <v>0.5161</v>
      </c>
      <c r="O37" s="106">
        <v>6.1296296296296306</v>
      </c>
      <c r="P37" s="106">
        <v>5.117647058823529</v>
      </c>
      <c r="Q37" s="106">
        <v>4.39047619047619</v>
      </c>
      <c r="R37" s="107">
        <v>0.95379999999999998</v>
      </c>
      <c r="S37" s="107">
        <v>0.4622</v>
      </c>
      <c r="T37" s="106">
        <v>234.8662445500953</v>
      </c>
      <c r="U37" s="106">
        <v>315.42401369337301</v>
      </c>
      <c r="V37" s="106">
        <v>9.7053542674883904</v>
      </c>
      <c r="W37" s="107">
        <v>1.30890867947898E-2</v>
      </c>
      <c r="X37" s="107">
        <v>-5.1400000000000001E-2</v>
      </c>
      <c r="Y37" s="107">
        <v>0.38784801415217102</v>
      </c>
      <c r="Z37" s="106">
        <v>7.4995919339682988</v>
      </c>
      <c r="AA37" s="106">
        <v>33.450000000000003</v>
      </c>
      <c r="AB37" s="107">
        <v>0.24423707934807901</v>
      </c>
      <c r="AC37" s="107">
        <v>8.3333333333333301E-2</v>
      </c>
      <c r="AD37" s="106">
        <v>4.53</v>
      </c>
      <c r="AE37" s="106">
        <v>37.71</v>
      </c>
      <c r="AF37" s="106">
        <v>176.90213914831105</v>
      </c>
      <c r="AG37" s="106">
        <v>5.2938296004482108</v>
      </c>
      <c r="AH37" s="107">
        <v>2.2700000000000001E-2</v>
      </c>
      <c r="AI37" s="107">
        <v>0.10580000000000001</v>
      </c>
      <c r="AJ37" s="107">
        <v>7.9299999999999995E-2</v>
      </c>
      <c r="AK37" s="107">
        <v>0.21110000000000001</v>
      </c>
    </row>
    <row r="38" spans="1:37" ht="12.75" customHeight="1" x14ac:dyDescent="0.25">
      <c r="A38" s="105" t="s">
        <v>101</v>
      </c>
      <c r="B38" s="106">
        <v>1.2176560121765601</v>
      </c>
      <c r="C38" s="107">
        <v>0.10951526032316</v>
      </c>
      <c r="D38" s="106">
        <v>222.96544035674501</v>
      </c>
      <c r="E38" s="106">
        <v>8.0299999999999994</v>
      </c>
      <c r="F38" s="107">
        <v>0.99539999999999995</v>
      </c>
      <c r="G38" s="107">
        <v>0.96060000000000001</v>
      </c>
      <c r="H38" s="107">
        <v>0.98870000000000002</v>
      </c>
      <c r="I38" s="107">
        <v>0.1222785156784883</v>
      </c>
      <c r="J38" s="107">
        <v>0.89759999999999995</v>
      </c>
      <c r="K38" s="107">
        <v>0.10929999999999999</v>
      </c>
      <c r="L38" s="106">
        <v>22.893772893772894</v>
      </c>
      <c r="M38" s="106">
        <v>1.5698587127158556</v>
      </c>
      <c r="N38" s="107">
        <v>0.35189999999999999</v>
      </c>
      <c r="O38" s="106">
        <v>5.6000000000000005</v>
      </c>
      <c r="P38" s="106">
        <v>4.4000000000000004</v>
      </c>
      <c r="Q38" s="106">
        <v>11.1</v>
      </c>
      <c r="R38" s="107">
        <v>0.92789999999999995</v>
      </c>
      <c r="S38" s="107">
        <v>0.37280000000000002</v>
      </c>
      <c r="T38" s="106">
        <v>279.0483587929001</v>
      </c>
      <c r="U38" s="106">
        <v>261.64311878597601</v>
      </c>
      <c r="V38" s="106">
        <v>52.328623757195203</v>
      </c>
      <c r="W38" s="107">
        <v>0</v>
      </c>
      <c r="X38" s="107">
        <v>-1.95E-2</v>
      </c>
      <c r="Y38" s="107">
        <v>0.44142464678179</v>
      </c>
      <c r="Z38" s="106">
        <v>19.623233908948198</v>
      </c>
      <c r="AA38" s="106">
        <v>30</v>
      </c>
      <c r="AB38" s="107">
        <v>0.23344370896490199</v>
      </c>
      <c r="AC38" s="107">
        <v>0.13176895306859199</v>
      </c>
      <c r="AD38" s="106">
        <v>30.12</v>
      </c>
      <c r="AE38" s="106">
        <v>4.5599999999999996</v>
      </c>
      <c r="AF38" s="106">
        <v>251.83150183150184</v>
      </c>
      <c r="AG38" s="106">
        <v>6.5410779696493986</v>
      </c>
      <c r="AH38" s="107">
        <v>3.4200000000000001E-2</v>
      </c>
      <c r="AI38" s="107">
        <v>3.2800000000000003E-2</v>
      </c>
      <c r="AJ38" s="107">
        <v>2.3699999999999999E-2</v>
      </c>
      <c r="AK38" s="107">
        <v>8.0500000000000002E-2</v>
      </c>
    </row>
    <row r="39" spans="1:37" ht="12.75" customHeight="1" x14ac:dyDescent="0.25">
      <c r="I39" s="84"/>
      <c r="J39" s="84"/>
      <c r="K39" s="84"/>
      <c r="N39" s="84"/>
      <c r="R39" s="84"/>
      <c r="S39" s="84"/>
      <c r="W39" s="84"/>
      <c r="Y39" s="84"/>
      <c r="AB39" s="84"/>
      <c r="AC39" s="84"/>
      <c r="AH39" s="84"/>
      <c r="AI39" s="84"/>
      <c r="AJ39" s="84"/>
      <c r="AK39" s="84"/>
    </row>
    <row r="40" spans="1:37" ht="12.75" customHeight="1" x14ac:dyDescent="0.25">
      <c r="I40" s="84"/>
      <c r="J40" s="84"/>
      <c r="K40" s="84"/>
      <c r="N40" s="84"/>
      <c r="R40" s="84"/>
      <c r="S40" s="84"/>
      <c r="W40" s="84"/>
      <c r="Y40" s="84"/>
      <c r="AB40" s="84"/>
      <c r="AC40" s="84"/>
      <c r="AH40" s="84"/>
      <c r="AI40" s="84"/>
      <c r="AJ40" s="84"/>
      <c r="AK40" s="84"/>
    </row>
    <row r="41" spans="1:37" ht="12.75" customHeight="1" x14ac:dyDescent="0.25">
      <c r="I41" s="84"/>
      <c r="J41" s="84"/>
      <c r="K41" s="84"/>
      <c r="N41" s="84"/>
      <c r="R41" s="84"/>
      <c r="S41" s="84"/>
      <c r="W41" s="84"/>
      <c r="Y41" s="84"/>
      <c r="AB41" s="84"/>
      <c r="AC41" s="84"/>
      <c r="AH41" s="84"/>
      <c r="AI41" s="84"/>
      <c r="AJ41" s="84"/>
      <c r="AK41" s="84"/>
    </row>
    <row r="42" spans="1:37" ht="12.75" customHeight="1" x14ac:dyDescent="0.25">
      <c r="I42" s="84"/>
      <c r="J42" s="84"/>
      <c r="K42" s="84"/>
      <c r="N42" s="84"/>
      <c r="R42" s="84"/>
      <c r="S42" s="84"/>
      <c r="W42" s="84"/>
      <c r="Y42" s="84"/>
      <c r="AB42" s="84"/>
      <c r="AC42" s="84"/>
      <c r="AH42" s="84"/>
      <c r="AI42" s="84"/>
      <c r="AJ42" s="84"/>
      <c r="AK42" s="84"/>
    </row>
    <row r="43" spans="1:37" ht="12.75" customHeight="1" x14ac:dyDescent="0.25">
      <c r="I43" s="84"/>
      <c r="J43" s="84"/>
      <c r="K43" s="84"/>
      <c r="N43" s="84"/>
      <c r="R43" s="84"/>
      <c r="S43" s="84"/>
      <c r="W43" s="84"/>
      <c r="Y43" s="84"/>
      <c r="AB43" s="84"/>
      <c r="AC43" s="84"/>
      <c r="AH43" s="84"/>
      <c r="AI43" s="84"/>
      <c r="AJ43" s="84"/>
      <c r="AK43" s="84"/>
    </row>
    <row r="44" spans="1:37" ht="12.75" customHeight="1" x14ac:dyDescent="0.25">
      <c r="I44" s="84"/>
      <c r="J44" s="84"/>
      <c r="K44" s="84"/>
      <c r="N44" s="84"/>
      <c r="R44" s="84"/>
      <c r="S44" s="84"/>
      <c r="W44" s="84"/>
      <c r="Y44" s="84"/>
      <c r="AB44" s="84"/>
      <c r="AC44" s="84"/>
      <c r="AH44" s="84"/>
      <c r="AI44" s="84"/>
      <c r="AJ44" s="84"/>
      <c r="AK44" s="84"/>
    </row>
    <row r="45" spans="1:37" ht="12.75" customHeight="1" x14ac:dyDescent="0.25">
      <c r="I45" s="84"/>
      <c r="J45" s="84"/>
      <c r="K45" s="84"/>
      <c r="N45" s="84"/>
      <c r="R45" s="84"/>
      <c r="S45" s="84"/>
      <c r="W45" s="84"/>
      <c r="Y45" s="84"/>
      <c r="AB45" s="84"/>
      <c r="AC45" s="84"/>
      <c r="AH45" s="84"/>
      <c r="AI45" s="84"/>
      <c r="AJ45" s="84"/>
      <c r="AK45" s="84"/>
    </row>
    <row r="46" spans="1:37" ht="12.75" customHeight="1" x14ac:dyDescent="0.25">
      <c r="I46" s="84"/>
      <c r="J46" s="84"/>
      <c r="K46" s="84"/>
      <c r="N46" s="84"/>
      <c r="R46" s="84"/>
      <c r="S46" s="84"/>
      <c r="W46" s="84"/>
      <c r="Y46" s="84"/>
      <c r="AB46" s="84"/>
      <c r="AC46" s="84"/>
      <c r="AH46" s="84"/>
      <c r="AI46" s="84"/>
      <c r="AJ46" s="84"/>
      <c r="AK46" s="84"/>
    </row>
    <row r="47" spans="1:37" ht="12.75" customHeight="1" x14ac:dyDescent="0.25">
      <c r="I47" s="84"/>
      <c r="J47" s="84"/>
      <c r="K47" s="84"/>
      <c r="N47" s="84"/>
      <c r="R47" s="84"/>
      <c r="S47" s="84"/>
      <c r="W47" s="84"/>
      <c r="Y47" s="84"/>
      <c r="AB47" s="84"/>
      <c r="AC47" s="84"/>
      <c r="AH47" s="84"/>
      <c r="AI47" s="84"/>
      <c r="AJ47" s="84"/>
      <c r="AK47" s="84"/>
    </row>
    <row r="48" spans="1:37" ht="12.75" customHeight="1" x14ac:dyDescent="0.25">
      <c r="I48" s="84"/>
      <c r="J48" s="84"/>
      <c r="K48" s="84"/>
      <c r="N48" s="84"/>
      <c r="R48" s="84"/>
      <c r="S48" s="84"/>
      <c r="W48" s="84"/>
      <c r="Y48" s="84"/>
      <c r="AB48" s="84"/>
      <c r="AC48" s="84"/>
      <c r="AH48" s="84"/>
      <c r="AI48" s="84"/>
      <c r="AJ48" s="84"/>
      <c r="AK48" s="84"/>
    </row>
    <row r="49" spans="9:37" ht="12.75" customHeight="1" x14ac:dyDescent="0.25">
      <c r="I49" s="84"/>
      <c r="J49" s="84"/>
      <c r="K49" s="84"/>
      <c r="N49" s="84"/>
      <c r="R49" s="84"/>
      <c r="S49" s="84"/>
      <c r="W49" s="84"/>
      <c r="Y49" s="84"/>
      <c r="AB49" s="84"/>
      <c r="AC49" s="84"/>
      <c r="AH49" s="84"/>
      <c r="AI49" s="84"/>
      <c r="AJ49" s="84"/>
      <c r="AK49" s="84"/>
    </row>
    <row r="50" spans="9:37" ht="12.75" customHeight="1" x14ac:dyDescent="0.25">
      <c r="I50" s="84"/>
      <c r="J50" s="84"/>
      <c r="K50" s="84"/>
      <c r="N50" s="84"/>
      <c r="R50" s="84"/>
      <c r="S50" s="84"/>
      <c r="W50" s="84"/>
      <c r="Y50" s="84"/>
      <c r="AB50" s="84"/>
      <c r="AC50" s="84"/>
      <c r="AH50" s="84"/>
      <c r="AI50" s="84"/>
      <c r="AJ50" s="84"/>
      <c r="AK50" s="84"/>
    </row>
    <row r="51" spans="9:37" ht="12.75" customHeight="1" x14ac:dyDescent="0.25">
      <c r="I51" s="84"/>
      <c r="J51" s="84"/>
      <c r="K51" s="84"/>
      <c r="N51" s="84"/>
      <c r="R51" s="84"/>
      <c r="S51" s="84"/>
      <c r="W51" s="84"/>
      <c r="Y51" s="84"/>
      <c r="AB51" s="84"/>
      <c r="AC51" s="84"/>
      <c r="AH51" s="84"/>
      <c r="AI51" s="84"/>
      <c r="AJ51" s="84"/>
      <c r="AK51" s="84"/>
    </row>
    <row r="52" spans="9:37" ht="12.75" customHeight="1" x14ac:dyDescent="0.25">
      <c r="I52" s="84"/>
      <c r="J52" s="84"/>
      <c r="K52" s="84"/>
      <c r="N52" s="84"/>
      <c r="R52" s="84"/>
      <c r="S52" s="84"/>
      <c r="W52" s="84"/>
      <c r="Y52" s="84"/>
      <c r="AB52" s="84"/>
      <c r="AC52" s="84"/>
      <c r="AH52" s="84"/>
      <c r="AI52" s="84"/>
      <c r="AJ52" s="84"/>
      <c r="AK52" s="84"/>
    </row>
    <row r="53" spans="9:37" ht="12.75" customHeight="1" x14ac:dyDescent="0.25">
      <c r="I53" s="84"/>
      <c r="J53" s="84"/>
      <c r="K53" s="84"/>
      <c r="N53" s="84"/>
      <c r="R53" s="84"/>
      <c r="S53" s="84"/>
      <c r="W53" s="84"/>
      <c r="Y53" s="84"/>
      <c r="AB53" s="84"/>
      <c r="AC53" s="84"/>
      <c r="AH53" s="84"/>
      <c r="AI53" s="84"/>
      <c r="AJ53" s="84"/>
      <c r="AK53" s="84"/>
    </row>
    <row r="54" spans="9:37" ht="12.75" customHeight="1" x14ac:dyDescent="0.25">
      <c r="I54" s="84"/>
      <c r="J54" s="84"/>
      <c r="K54" s="84"/>
      <c r="N54" s="84"/>
      <c r="R54" s="84"/>
      <c r="S54" s="84"/>
      <c r="W54" s="84"/>
      <c r="Y54" s="84"/>
      <c r="AB54" s="84"/>
      <c r="AC54" s="84"/>
      <c r="AH54" s="84"/>
      <c r="AI54" s="84"/>
      <c r="AJ54" s="84"/>
      <c r="AK54" s="84"/>
    </row>
    <row r="55" spans="9:37" ht="12.75" customHeight="1" x14ac:dyDescent="0.25">
      <c r="I55" s="84"/>
      <c r="J55" s="84"/>
      <c r="K55" s="84"/>
      <c r="N55" s="84"/>
      <c r="R55" s="84"/>
      <c r="S55" s="84"/>
      <c r="W55" s="84"/>
      <c r="Y55" s="84"/>
      <c r="AB55" s="84"/>
      <c r="AC55" s="84"/>
      <c r="AH55" s="84"/>
      <c r="AI55" s="84"/>
      <c r="AJ55" s="84"/>
      <c r="AK55" s="84"/>
    </row>
    <row r="56" spans="9:37" ht="12.75" customHeight="1" x14ac:dyDescent="0.25">
      <c r="I56" s="84"/>
      <c r="J56" s="84"/>
      <c r="K56" s="84"/>
      <c r="N56" s="84"/>
      <c r="R56" s="84"/>
      <c r="S56" s="84"/>
      <c r="W56" s="84"/>
      <c r="Y56" s="84"/>
      <c r="AB56" s="84"/>
      <c r="AC56" s="84"/>
      <c r="AH56" s="84"/>
      <c r="AI56" s="84"/>
      <c r="AJ56" s="84"/>
      <c r="AK56" s="84"/>
    </row>
    <row r="57" spans="9:37" ht="12.75" customHeight="1" x14ac:dyDescent="0.25">
      <c r="I57" s="84"/>
      <c r="J57" s="84"/>
      <c r="K57" s="84"/>
      <c r="N57" s="84"/>
      <c r="R57" s="84"/>
      <c r="S57" s="84"/>
      <c r="W57" s="84"/>
      <c r="Y57" s="84"/>
      <c r="AB57" s="84"/>
      <c r="AC57" s="84"/>
      <c r="AH57" s="84"/>
      <c r="AI57" s="84"/>
      <c r="AJ57" s="84"/>
      <c r="AK57" s="84"/>
    </row>
    <row r="58" spans="9:37" ht="12.75" customHeight="1" x14ac:dyDescent="0.25">
      <c r="I58" s="84"/>
      <c r="J58" s="84"/>
      <c r="K58" s="84"/>
      <c r="N58" s="84"/>
      <c r="R58" s="84"/>
      <c r="S58" s="84"/>
      <c r="W58" s="84"/>
      <c r="Y58" s="84"/>
      <c r="AB58" s="84"/>
      <c r="AC58" s="84"/>
      <c r="AH58" s="84"/>
      <c r="AI58" s="84"/>
      <c r="AJ58" s="84"/>
      <c r="AK58" s="84"/>
    </row>
    <row r="59" spans="9:37" ht="12.75" customHeight="1" x14ac:dyDescent="0.25">
      <c r="I59" s="84"/>
      <c r="J59" s="84"/>
      <c r="K59" s="84"/>
      <c r="N59" s="84"/>
      <c r="R59" s="84"/>
      <c r="S59" s="84"/>
      <c r="W59" s="84"/>
      <c r="Y59" s="84"/>
      <c r="AB59" s="84"/>
      <c r="AC59" s="84"/>
      <c r="AH59" s="84"/>
      <c r="AI59" s="84"/>
      <c r="AJ59" s="84"/>
      <c r="AK59" s="84"/>
    </row>
    <row r="60" spans="9:37" ht="12.75" customHeight="1" x14ac:dyDescent="0.25">
      <c r="I60" s="84"/>
      <c r="J60" s="84"/>
      <c r="K60" s="84"/>
      <c r="N60" s="84"/>
      <c r="R60" s="84"/>
      <c r="S60" s="84"/>
      <c r="W60" s="84"/>
      <c r="Y60" s="84"/>
      <c r="AB60" s="84"/>
      <c r="AC60" s="84"/>
      <c r="AH60" s="84"/>
      <c r="AI60" s="84"/>
      <c r="AJ60" s="84"/>
      <c r="AK60" s="84"/>
    </row>
    <row r="61" spans="9:37" ht="12.75" customHeight="1" x14ac:dyDescent="0.25">
      <c r="I61" s="84"/>
      <c r="J61" s="84"/>
      <c r="K61" s="84"/>
      <c r="N61" s="84"/>
      <c r="R61" s="84"/>
      <c r="S61" s="84"/>
      <c r="W61" s="84"/>
      <c r="Y61" s="84"/>
      <c r="AB61" s="84"/>
      <c r="AC61" s="84"/>
      <c r="AH61" s="84"/>
      <c r="AI61" s="84"/>
      <c r="AJ61" s="84"/>
      <c r="AK61" s="84"/>
    </row>
    <row r="62" spans="9:37" ht="12.75" customHeight="1" x14ac:dyDescent="0.25">
      <c r="I62" s="84"/>
      <c r="J62" s="84"/>
      <c r="K62" s="84"/>
      <c r="N62" s="84"/>
      <c r="R62" s="84"/>
      <c r="S62" s="84"/>
      <c r="W62" s="84"/>
      <c r="Y62" s="84"/>
      <c r="AB62" s="84"/>
      <c r="AC62" s="84"/>
      <c r="AH62" s="84"/>
      <c r="AI62" s="84"/>
      <c r="AJ62" s="84"/>
      <c r="AK62" s="84"/>
    </row>
    <row r="63" spans="9:37" ht="12.75" customHeight="1" x14ac:dyDescent="0.25">
      <c r="I63" s="84"/>
      <c r="J63" s="84"/>
      <c r="K63" s="84"/>
      <c r="N63" s="84"/>
      <c r="R63" s="84"/>
      <c r="S63" s="84"/>
      <c r="W63" s="84"/>
      <c r="Y63" s="84"/>
      <c r="AB63" s="84"/>
      <c r="AC63" s="84"/>
      <c r="AH63" s="84"/>
      <c r="AI63" s="84"/>
      <c r="AJ63" s="84"/>
      <c r="AK63" s="84"/>
    </row>
    <row r="64" spans="9:37" ht="12.75" customHeight="1" x14ac:dyDescent="0.25">
      <c r="I64" s="84"/>
      <c r="J64" s="84"/>
      <c r="K64" s="84"/>
      <c r="N64" s="84"/>
      <c r="R64" s="84"/>
      <c r="S64" s="84"/>
      <c r="W64" s="84"/>
      <c r="Y64" s="84"/>
      <c r="AB64" s="84"/>
      <c r="AC64" s="84"/>
      <c r="AH64" s="84"/>
      <c r="AI64" s="84"/>
      <c r="AJ64" s="84"/>
      <c r="AK64" s="84"/>
    </row>
    <row r="65" spans="9:37" ht="12.75" customHeight="1" x14ac:dyDescent="0.25">
      <c r="I65" s="84"/>
      <c r="J65" s="84"/>
      <c r="K65" s="84"/>
      <c r="N65" s="84"/>
      <c r="R65" s="84"/>
      <c r="S65" s="84"/>
      <c r="W65" s="84"/>
      <c r="Y65" s="84"/>
      <c r="AB65" s="84"/>
      <c r="AC65" s="84"/>
      <c r="AH65" s="84"/>
      <c r="AI65" s="84"/>
      <c r="AJ65" s="84"/>
      <c r="AK65" s="84"/>
    </row>
    <row r="66" spans="9:37" ht="12.75" customHeight="1" x14ac:dyDescent="0.25">
      <c r="I66" s="84"/>
      <c r="J66" s="84"/>
      <c r="K66" s="84"/>
      <c r="N66" s="84"/>
      <c r="R66" s="84"/>
      <c r="S66" s="84"/>
      <c r="W66" s="84"/>
      <c r="Y66" s="84"/>
      <c r="AB66" s="84"/>
      <c r="AC66" s="84"/>
      <c r="AH66" s="84"/>
      <c r="AI66" s="84"/>
      <c r="AJ66" s="84"/>
      <c r="AK66" s="84"/>
    </row>
    <row r="67" spans="9:37" ht="12.75" customHeight="1" x14ac:dyDescent="0.25">
      <c r="I67" s="84"/>
      <c r="J67" s="84"/>
      <c r="K67" s="84"/>
      <c r="N67" s="84"/>
      <c r="R67" s="84"/>
      <c r="S67" s="84"/>
      <c r="W67" s="84"/>
      <c r="Y67" s="84"/>
      <c r="AB67" s="84"/>
      <c r="AC67" s="84"/>
      <c r="AH67" s="84"/>
      <c r="AI67" s="84"/>
      <c r="AJ67" s="84"/>
      <c r="AK67" s="84"/>
    </row>
    <row r="68" spans="9:37" ht="12.75" customHeight="1" x14ac:dyDescent="0.25">
      <c r="I68" s="84"/>
      <c r="J68" s="84"/>
      <c r="K68" s="84"/>
      <c r="N68" s="84"/>
      <c r="R68" s="84"/>
      <c r="S68" s="84"/>
      <c r="W68" s="84"/>
      <c r="Y68" s="84"/>
      <c r="AB68" s="84"/>
      <c r="AC68" s="84"/>
      <c r="AH68" s="84"/>
      <c r="AI68" s="84"/>
      <c r="AJ68" s="84"/>
      <c r="AK68" s="84"/>
    </row>
    <row r="69" spans="9:37" ht="12.75" customHeight="1" x14ac:dyDescent="0.25">
      <c r="I69" s="84"/>
      <c r="J69" s="84"/>
      <c r="K69" s="84"/>
      <c r="N69" s="84"/>
      <c r="R69" s="84"/>
      <c r="S69" s="84"/>
      <c r="W69" s="84"/>
      <c r="Y69" s="84"/>
      <c r="AB69" s="84"/>
      <c r="AC69" s="84"/>
      <c r="AH69" s="84"/>
      <c r="AI69" s="84"/>
      <c r="AJ69" s="84"/>
      <c r="AK69" s="84"/>
    </row>
    <row r="70" spans="9:37" ht="12.75" customHeight="1" x14ac:dyDescent="0.25">
      <c r="I70" s="84"/>
      <c r="J70" s="84"/>
      <c r="K70" s="84"/>
      <c r="N70" s="84"/>
      <c r="R70" s="84"/>
      <c r="S70" s="84"/>
      <c r="W70" s="84"/>
      <c r="Y70" s="84"/>
      <c r="AB70" s="84"/>
      <c r="AC70" s="84"/>
      <c r="AH70" s="84"/>
      <c r="AI70" s="84"/>
      <c r="AJ70" s="84"/>
      <c r="AK70" s="84"/>
    </row>
    <row r="71" spans="9:37" ht="12.75" customHeight="1" x14ac:dyDescent="0.25">
      <c r="I71" s="84"/>
      <c r="J71" s="84"/>
      <c r="K71" s="84"/>
      <c r="N71" s="84"/>
      <c r="R71" s="84"/>
      <c r="S71" s="84"/>
      <c r="W71" s="84"/>
      <c r="Y71" s="84"/>
      <c r="AB71" s="84"/>
      <c r="AC71" s="84"/>
      <c r="AH71" s="84"/>
      <c r="AI71" s="84"/>
      <c r="AJ71" s="84"/>
      <c r="AK71" s="84"/>
    </row>
    <row r="72" spans="9:37" ht="12.75" customHeight="1" x14ac:dyDescent="0.25">
      <c r="I72" s="84"/>
      <c r="J72" s="84"/>
      <c r="K72" s="84"/>
      <c r="N72" s="84"/>
      <c r="R72" s="84"/>
      <c r="S72" s="84"/>
      <c r="W72" s="84"/>
      <c r="Y72" s="84"/>
      <c r="AB72" s="84"/>
      <c r="AC72" s="84"/>
      <c r="AH72" s="84"/>
      <c r="AI72" s="84"/>
      <c r="AJ72" s="84"/>
      <c r="AK72" s="84"/>
    </row>
    <row r="73" spans="9:37" ht="12.75" customHeight="1" x14ac:dyDescent="0.25">
      <c r="I73" s="84"/>
      <c r="J73" s="84"/>
      <c r="K73" s="84"/>
      <c r="N73" s="84"/>
      <c r="R73" s="84"/>
      <c r="S73" s="84"/>
      <c r="W73" s="84"/>
      <c r="Y73" s="84"/>
      <c r="AB73" s="84"/>
      <c r="AC73" s="84"/>
      <c r="AH73" s="84"/>
      <c r="AI73" s="84"/>
      <c r="AJ73" s="84"/>
      <c r="AK73" s="84"/>
    </row>
    <row r="74" spans="9:37" ht="12.75" customHeight="1" x14ac:dyDescent="0.25">
      <c r="I74" s="84"/>
      <c r="J74" s="84"/>
      <c r="K74" s="84"/>
      <c r="N74" s="84"/>
      <c r="R74" s="84"/>
      <c r="S74" s="84"/>
      <c r="W74" s="84"/>
      <c r="Y74" s="84"/>
      <c r="AB74" s="84"/>
      <c r="AC74" s="84"/>
      <c r="AH74" s="84"/>
      <c r="AI74" s="84"/>
      <c r="AJ74" s="84"/>
      <c r="AK74" s="84"/>
    </row>
    <row r="75" spans="9:37" ht="12.75" customHeight="1" x14ac:dyDescent="0.25">
      <c r="I75" s="84"/>
      <c r="J75" s="84"/>
      <c r="K75" s="84"/>
      <c r="N75" s="84"/>
      <c r="R75" s="84"/>
      <c r="S75" s="84"/>
      <c r="W75" s="84"/>
      <c r="Y75" s="84"/>
      <c r="AB75" s="84"/>
      <c r="AC75" s="84"/>
      <c r="AH75" s="84"/>
      <c r="AI75" s="84"/>
      <c r="AJ75" s="84"/>
      <c r="AK75" s="84"/>
    </row>
    <row r="76" spans="9:37" ht="12.75" customHeight="1" x14ac:dyDescent="0.25">
      <c r="I76" s="84"/>
      <c r="J76" s="84"/>
      <c r="K76" s="84"/>
      <c r="N76" s="84"/>
      <c r="R76" s="84"/>
      <c r="S76" s="84"/>
      <c r="W76" s="84"/>
      <c r="Y76" s="84"/>
      <c r="AB76" s="84"/>
      <c r="AC76" s="84"/>
      <c r="AH76" s="84"/>
      <c r="AI76" s="84"/>
      <c r="AJ76" s="84"/>
      <c r="AK76" s="84"/>
    </row>
    <row r="77" spans="9:37" ht="12.75" customHeight="1" x14ac:dyDescent="0.25">
      <c r="I77" s="84"/>
      <c r="J77" s="84"/>
      <c r="K77" s="84"/>
      <c r="N77" s="84"/>
      <c r="R77" s="84"/>
      <c r="S77" s="84"/>
      <c r="W77" s="84"/>
      <c r="Y77" s="84"/>
      <c r="AB77" s="84"/>
      <c r="AC77" s="84"/>
      <c r="AH77" s="84"/>
      <c r="AI77" s="84"/>
      <c r="AJ77" s="84"/>
      <c r="AK77" s="84"/>
    </row>
    <row r="78" spans="9:37" ht="12.75" customHeight="1" x14ac:dyDescent="0.25">
      <c r="I78" s="84"/>
      <c r="J78" s="84"/>
      <c r="K78" s="84"/>
      <c r="N78" s="84"/>
      <c r="R78" s="84"/>
      <c r="S78" s="84"/>
      <c r="W78" s="84"/>
      <c r="Y78" s="84"/>
      <c r="AB78" s="84"/>
      <c r="AC78" s="84"/>
      <c r="AH78" s="84"/>
      <c r="AI78" s="84"/>
      <c r="AJ78" s="84"/>
      <c r="AK78" s="84"/>
    </row>
    <row r="79" spans="9:37" ht="12.75" customHeight="1" x14ac:dyDescent="0.25">
      <c r="I79" s="84"/>
      <c r="J79" s="84"/>
      <c r="K79" s="84"/>
      <c r="N79" s="84"/>
      <c r="R79" s="84"/>
      <c r="S79" s="84"/>
      <c r="W79" s="84"/>
      <c r="Y79" s="84"/>
      <c r="AB79" s="84"/>
      <c r="AC79" s="84"/>
      <c r="AH79" s="84"/>
      <c r="AI79" s="84"/>
      <c r="AJ79" s="84"/>
      <c r="AK79" s="84"/>
    </row>
    <row r="80" spans="9:37" ht="12.75" customHeight="1" x14ac:dyDescent="0.25">
      <c r="I80" s="84"/>
      <c r="J80" s="84"/>
      <c r="K80" s="84"/>
      <c r="N80" s="84"/>
      <c r="R80" s="84"/>
      <c r="S80" s="84"/>
      <c r="W80" s="84"/>
      <c r="Y80" s="84"/>
      <c r="AB80" s="84"/>
      <c r="AC80" s="84"/>
      <c r="AH80" s="84"/>
      <c r="AI80" s="84"/>
      <c r="AJ80" s="84"/>
      <c r="AK80" s="84"/>
    </row>
    <row r="81" spans="9:37" ht="12.75" customHeight="1" x14ac:dyDescent="0.25">
      <c r="I81" s="84"/>
      <c r="J81" s="84"/>
      <c r="K81" s="84"/>
      <c r="N81" s="84"/>
      <c r="R81" s="84"/>
      <c r="S81" s="84"/>
      <c r="W81" s="84"/>
      <c r="Y81" s="84"/>
      <c r="AB81" s="84"/>
      <c r="AC81" s="84"/>
      <c r="AH81" s="84"/>
      <c r="AI81" s="84"/>
      <c r="AJ81" s="84"/>
      <c r="AK81" s="84"/>
    </row>
    <row r="82" spans="9:37" ht="12.75" customHeight="1" x14ac:dyDescent="0.25">
      <c r="I82" s="84"/>
      <c r="J82" s="84"/>
      <c r="K82" s="84"/>
      <c r="N82" s="84"/>
      <c r="R82" s="84"/>
      <c r="S82" s="84"/>
      <c r="W82" s="84"/>
      <c r="Y82" s="84"/>
      <c r="AB82" s="84"/>
      <c r="AC82" s="84"/>
      <c r="AH82" s="84"/>
      <c r="AI82" s="84"/>
      <c r="AJ82" s="84"/>
      <c r="AK82" s="84"/>
    </row>
    <row r="83" spans="9:37" ht="12.75" customHeight="1" x14ac:dyDescent="0.25">
      <c r="I83" s="84"/>
      <c r="J83" s="84"/>
      <c r="K83" s="84"/>
      <c r="N83" s="84"/>
      <c r="R83" s="84"/>
      <c r="S83" s="84"/>
      <c r="W83" s="84"/>
      <c r="Y83" s="84"/>
      <c r="AB83" s="84"/>
      <c r="AC83" s="84"/>
      <c r="AH83" s="84"/>
      <c r="AI83" s="84"/>
      <c r="AJ83" s="84"/>
      <c r="AK83" s="84"/>
    </row>
    <row r="84" spans="9:37" ht="12.75" customHeight="1" x14ac:dyDescent="0.25">
      <c r="I84" s="84"/>
      <c r="J84" s="84"/>
      <c r="K84" s="84"/>
      <c r="N84" s="84"/>
      <c r="R84" s="84"/>
      <c r="S84" s="84"/>
      <c r="W84" s="84"/>
      <c r="Y84" s="84"/>
      <c r="AB84" s="84"/>
      <c r="AC84" s="84"/>
      <c r="AH84" s="84"/>
      <c r="AI84" s="84"/>
      <c r="AJ84" s="84"/>
      <c r="AK84" s="84"/>
    </row>
    <row r="85" spans="9:37" ht="12.75" customHeight="1" x14ac:dyDescent="0.25">
      <c r="I85" s="84"/>
      <c r="J85" s="84"/>
      <c r="K85" s="84"/>
      <c r="N85" s="84"/>
      <c r="R85" s="84"/>
      <c r="S85" s="84"/>
      <c r="W85" s="84"/>
      <c r="Y85" s="84"/>
      <c r="AB85" s="84"/>
      <c r="AC85" s="84"/>
      <c r="AH85" s="84"/>
      <c r="AI85" s="84"/>
      <c r="AJ85" s="84"/>
      <c r="AK85" s="84"/>
    </row>
    <row r="86" spans="9:37" ht="12.75" customHeight="1" x14ac:dyDescent="0.25">
      <c r="I86" s="84"/>
      <c r="J86" s="84"/>
      <c r="K86" s="84"/>
      <c r="N86" s="84"/>
      <c r="R86" s="84"/>
      <c r="S86" s="84"/>
      <c r="W86" s="84"/>
      <c r="Y86" s="84"/>
      <c r="AB86" s="84"/>
      <c r="AC86" s="84"/>
      <c r="AH86" s="84"/>
      <c r="AI86" s="84"/>
      <c r="AJ86" s="84"/>
      <c r="AK86" s="84"/>
    </row>
    <row r="87" spans="9:37" ht="12.75" customHeight="1" x14ac:dyDescent="0.25">
      <c r="I87" s="84"/>
      <c r="J87" s="84"/>
      <c r="K87" s="84"/>
      <c r="N87" s="84"/>
      <c r="R87" s="84"/>
      <c r="S87" s="84"/>
      <c r="W87" s="84"/>
      <c r="Y87" s="84"/>
      <c r="AB87" s="84"/>
      <c r="AC87" s="84"/>
      <c r="AH87" s="84"/>
      <c r="AI87" s="84"/>
      <c r="AJ87" s="84"/>
      <c r="AK87" s="84"/>
    </row>
    <row r="88" spans="9:37" ht="12.75" customHeight="1" x14ac:dyDescent="0.25">
      <c r="I88" s="84"/>
      <c r="J88" s="84"/>
      <c r="K88" s="84"/>
      <c r="N88" s="84"/>
      <c r="R88" s="84"/>
      <c r="S88" s="84"/>
      <c r="W88" s="84"/>
      <c r="Y88" s="84"/>
      <c r="AB88" s="84"/>
      <c r="AC88" s="84"/>
      <c r="AH88" s="84"/>
      <c r="AI88" s="84"/>
      <c r="AJ88" s="84"/>
      <c r="AK88" s="84"/>
    </row>
    <row r="89" spans="9:37" ht="12.75" customHeight="1" x14ac:dyDescent="0.25">
      <c r="I89" s="84"/>
      <c r="J89" s="84"/>
      <c r="K89" s="84"/>
      <c r="N89" s="84"/>
      <c r="R89" s="84"/>
      <c r="S89" s="84"/>
      <c r="W89" s="84"/>
      <c r="Y89" s="84"/>
      <c r="AB89" s="84"/>
      <c r="AC89" s="84"/>
      <c r="AH89" s="84"/>
      <c r="AI89" s="84"/>
      <c r="AJ89" s="84"/>
      <c r="AK89" s="84"/>
    </row>
    <row r="90" spans="9:37" ht="12.75" customHeight="1" x14ac:dyDescent="0.25">
      <c r="I90" s="84"/>
      <c r="J90" s="84"/>
      <c r="K90" s="84"/>
      <c r="N90" s="84"/>
      <c r="R90" s="84"/>
      <c r="S90" s="84"/>
      <c r="W90" s="84"/>
      <c r="Y90" s="84"/>
      <c r="AB90" s="84"/>
      <c r="AC90" s="84"/>
      <c r="AH90" s="84"/>
      <c r="AI90" s="84"/>
      <c r="AJ90" s="84"/>
      <c r="AK90" s="84"/>
    </row>
    <row r="91" spans="9:37" ht="12.75" customHeight="1" x14ac:dyDescent="0.25">
      <c r="I91" s="84"/>
      <c r="J91" s="84"/>
      <c r="K91" s="84"/>
      <c r="N91" s="84"/>
      <c r="R91" s="84"/>
      <c r="S91" s="84"/>
      <c r="W91" s="84"/>
      <c r="Y91" s="84"/>
      <c r="AB91" s="84"/>
      <c r="AC91" s="84"/>
      <c r="AH91" s="84"/>
      <c r="AI91" s="84"/>
      <c r="AJ91" s="84"/>
      <c r="AK91" s="84"/>
    </row>
    <row r="92" spans="9:37" ht="12.75" customHeight="1" x14ac:dyDescent="0.25">
      <c r="I92" s="84"/>
      <c r="J92" s="84"/>
      <c r="K92" s="84"/>
      <c r="N92" s="84"/>
      <c r="R92" s="84"/>
      <c r="S92" s="84"/>
      <c r="W92" s="84"/>
      <c r="Y92" s="84"/>
      <c r="AB92" s="84"/>
      <c r="AC92" s="84"/>
      <c r="AH92" s="84"/>
      <c r="AI92" s="84"/>
      <c r="AJ92" s="84"/>
      <c r="AK92" s="84"/>
    </row>
    <row r="93" spans="9:37" ht="12.75" customHeight="1" x14ac:dyDescent="0.25">
      <c r="I93" s="84"/>
      <c r="J93" s="84"/>
      <c r="K93" s="84"/>
      <c r="N93" s="84"/>
      <c r="R93" s="84"/>
      <c r="S93" s="84"/>
      <c r="W93" s="84"/>
      <c r="Y93" s="84"/>
      <c r="AB93" s="84"/>
      <c r="AC93" s="84"/>
      <c r="AH93" s="84"/>
      <c r="AI93" s="84"/>
      <c r="AJ93" s="84"/>
      <c r="AK93" s="84"/>
    </row>
    <row r="94" spans="9:37" ht="12.75" customHeight="1" x14ac:dyDescent="0.25">
      <c r="I94" s="84"/>
      <c r="J94" s="84"/>
      <c r="K94" s="84"/>
      <c r="N94" s="84"/>
      <c r="R94" s="84"/>
      <c r="S94" s="84"/>
      <c r="W94" s="84"/>
      <c r="Y94" s="84"/>
      <c r="AB94" s="84"/>
      <c r="AC94" s="84"/>
      <c r="AH94" s="84"/>
      <c r="AI94" s="84"/>
      <c r="AJ94" s="84"/>
      <c r="AK94" s="84"/>
    </row>
    <row r="95" spans="9:37" ht="12.75" customHeight="1" x14ac:dyDescent="0.25">
      <c r="I95" s="84"/>
      <c r="J95" s="84"/>
      <c r="K95" s="84"/>
      <c r="N95" s="84"/>
      <c r="R95" s="84"/>
      <c r="S95" s="84"/>
      <c r="W95" s="84"/>
      <c r="Y95" s="84"/>
      <c r="AB95" s="84"/>
      <c r="AC95" s="84"/>
      <c r="AH95" s="84"/>
      <c r="AI95" s="84"/>
      <c r="AJ95" s="84"/>
      <c r="AK95" s="84"/>
    </row>
    <row r="96" spans="9:37" ht="12.75" customHeight="1" x14ac:dyDescent="0.25">
      <c r="I96" s="84"/>
      <c r="J96" s="84"/>
      <c r="K96" s="84"/>
      <c r="N96" s="84"/>
      <c r="R96" s="84"/>
      <c r="S96" s="84"/>
      <c r="W96" s="84"/>
      <c r="Y96" s="84"/>
      <c r="AB96" s="84"/>
      <c r="AC96" s="84"/>
      <c r="AH96" s="84"/>
      <c r="AI96" s="84"/>
      <c r="AJ96" s="84"/>
      <c r="AK96" s="84"/>
    </row>
    <row r="97" spans="9:37" ht="12.75" customHeight="1" x14ac:dyDescent="0.25">
      <c r="I97" s="84"/>
      <c r="J97" s="84"/>
      <c r="K97" s="84"/>
      <c r="N97" s="84"/>
      <c r="R97" s="84"/>
      <c r="S97" s="84"/>
      <c r="W97" s="84"/>
      <c r="Y97" s="84"/>
      <c r="AB97" s="84"/>
      <c r="AC97" s="84"/>
      <c r="AH97" s="84"/>
      <c r="AI97" s="84"/>
      <c r="AJ97" s="84"/>
      <c r="AK97" s="84"/>
    </row>
    <row r="98" spans="9:37" ht="12.75" customHeight="1" x14ac:dyDescent="0.25">
      <c r="I98" s="84"/>
      <c r="J98" s="84"/>
      <c r="K98" s="84"/>
      <c r="N98" s="84"/>
      <c r="R98" s="84"/>
      <c r="S98" s="84"/>
      <c r="W98" s="84"/>
      <c r="Y98" s="84"/>
      <c r="AB98" s="84"/>
      <c r="AC98" s="84"/>
      <c r="AH98" s="84"/>
      <c r="AI98" s="84"/>
      <c r="AJ98" s="84"/>
      <c r="AK98" s="84"/>
    </row>
    <row r="99" spans="9:37" ht="12.75" customHeight="1" x14ac:dyDescent="0.25">
      <c r="I99" s="84"/>
      <c r="J99" s="84"/>
      <c r="K99" s="84"/>
      <c r="N99" s="84"/>
      <c r="R99" s="84"/>
      <c r="S99" s="84"/>
      <c r="W99" s="84"/>
      <c r="Y99" s="84"/>
      <c r="AB99" s="84"/>
      <c r="AC99" s="84"/>
      <c r="AH99" s="84"/>
      <c r="AI99" s="84"/>
      <c r="AJ99" s="84"/>
      <c r="AK99" s="84"/>
    </row>
    <row r="100" spans="9:37" ht="12.75" customHeight="1" x14ac:dyDescent="0.25">
      <c r="I100" s="84"/>
      <c r="J100" s="84"/>
      <c r="K100" s="84"/>
      <c r="N100" s="84"/>
      <c r="R100" s="84"/>
      <c r="S100" s="84"/>
      <c r="W100" s="84"/>
      <c r="Y100" s="84"/>
      <c r="AB100" s="84"/>
      <c r="AC100" s="84"/>
      <c r="AH100" s="84"/>
      <c r="AI100" s="84"/>
      <c r="AJ100" s="84"/>
      <c r="AK100" s="84"/>
    </row>
    <row r="101" spans="9:37" ht="12.75" customHeight="1" x14ac:dyDescent="0.25">
      <c r="I101" s="84"/>
      <c r="J101" s="84"/>
      <c r="K101" s="84"/>
      <c r="N101" s="84"/>
      <c r="R101" s="84"/>
      <c r="S101" s="84"/>
      <c r="W101" s="84"/>
      <c r="Y101" s="84"/>
      <c r="AB101" s="84"/>
      <c r="AC101" s="84"/>
      <c r="AH101" s="84"/>
      <c r="AI101" s="84"/>
      <c r="AJ101" s="84"/>
      <c r="AK101" s="84"/>
    </row>
    <row r="102" spans="9:37" ht="12.75" customHeight="1" x14ac:dyDescent="0.25">
      <c r="I102" s="84"/>
      <c r="J102" s="84"/>
      <c r="K102" s="84"/>
      <c r="N102" s="84"/>
      <c r="R102" s="84"/>
      <c r="S102" s="84"/>
      <c r="W102" s="84"/>
      <c r="Y102" s="84"/>
      <c r="AB102" s="84"/>
      <c r="AC102" s="84"/>
      <c r="AH102" s="84"/>
      <c r="AI102" s="84"/>
      <c r="AJ102" s="84"/>
      <c r="AK102" s="84"/>
    </row>
    <row r="103" spans="9:37" ht="12.75" customHeight="1" x14ac:dyDescent="0.25">
      <c r="I103" s="84"/>
      <c r="J103" s="84"/>
      <c r="K103" s="84"/>
      <c r="N103" s="84"/>
      <c r="R103" s="84"/>
      <c r="S103" s="84"/>
      <c r="W103" s="84"/>
      <c r="Y103" s="84"/>
      <c r="AB103" s="84"/>
      <c r="AC103" s="84"/>
      <c r="AH103" s="84"/>
      <c r="AI103" s="84"/>
      <c r="AJ103" s="84"/>
      <c r="AK103" s="84"/>
    </row>
    <row r="104" spans="9:37" ht="12.75" customHeight="1" x14ac:dyDescent="0.25">
      <c r="I104" s="84"/>
      <c r="J104" s="84"/>
      <c r="K104" s="84"/>
      <c r="N104" s="84"/>
      <c r="R104" s="84"/>
      <c r="S104" s="84"/>
      <c r="W104" s="84"/>
      <c r="Y104" s="84"/>
      <c r="AB104" s="84"/>
      <c r="AC104" s="84"/>
      <c r="AH104" s="84"/>
      <c r="AI104" s="84"/>
      <c r="AJ104" s="84"/>
      <c r="AK104" s="84"/>
    </row>
    <row r="105" spans="9:37" ht="12.75" customHeight="1" x14ac:dyDescent="0.25">
      <c r="I105" s="84"/>
      <c r="J105" s="84"/>
      <c r="K105" s="84"/>
      <c r="N105" s="84"/>
      <c r="R105" s="84"/>
      <c r="S105" s="84"/>
      <c r="W105" s="84"/>
      <c r="Y105" s="84"/>
      <c r="AB105" s="84"/>
      <c r="AC105" s="84"/>
      <c r="AH105" s="84"/>
      <c r="AI105" s="84"/>
      <c r="AJ105" s="84"/>
      <c r="AK105" s="84"/>
    </row>
    <row r="106" spans="9:37" ht="12.75" customHeight="1" x14ac:dyDescent="0.25">
      <c r="I106" s="84"/>
      <c r="J106" s="84"/>
      <c r="K106" s="84"/>
      <c r="N106" s="84"/>
      <c r="R106" s="84"/>
      <c r="S106" s="84"/>
      <c r="W106" s="84"/>
      <c r="Y106" s="84"/>
      <c r="AB106" s="84"/>
      <c r="AC106" s="84"/>
      <c r="AH106" s="84"/>
      <c r="AI106" s="84"/>
      <c r="AJ106" s="84"/>
      <c r="AK106" s="84"/>
    </row>
    <row r="107" spans="9:37" ht="12.75" customHeight="1" x14ac:dyDescent="0.25">
      <c r="I107" s="84"/>
      <c r="J107" s="84"/>
      <c r="K107" s="84"/>
      <c r="N107" s="84"/>
      <c r="R107" s="84"/>
      <c r="S107" s="84"/>
      <c r="W107" s="84"/>
      <c r="Y107" s="84"/>
      <c r="AB107" s="84"/>
      <c r="AC107" s="84"/>
      <c r="AH107" s="84"/>
      <c r="AI107" s="84"/>
      <c r="AJ107" s="84"/>
      <c r="AK107" s="84"/>
    </row>
    <row r="108" spans="9:37" ht="12.75" customHeight="1" x14ac:dyDescent="0.25">
      <c r="I108" s="84"/>
      <c r="J108" s="84"/>
      <c r="K108" s="84"/>
      <c r="N108" s="84"/>
      <c r="R108" s="84"/>
      <c r="S108" s="84"/>
      <c r="W108" s="84"/>
      <c r="Y108" s="84"/>
      <c r="AB108" s="84"/>
      <c r="AC108" s="84"/>
      <c r="AH108" s="84"/>
      <c r="AI108" s="84"/>
      <c r="AJ108" s="84"/>
      <c r="AK108" s="84"/>
    </row>
    <row r="109" spans="9:37" ht="12.75" customHeight="1" x14ac:dyDescent="0.25">
      <c r="I109" s="84"/>
      <c r="J109" s="84"/>
      <c r="K109" s="84"/>
      <c r="N109" s="84"/>
      <c r="R109" s="84"/>
      <c r="S109" s="84"/>
      <c r="W109" s="84"/>
      <c r="Y109" s="84"/>
      <c r="AB109" s="84"/>
      <c r="AC109" s="84"/>
      <c r="AH109" s="84"/>
      <c r="AI109" s="84"/>
      <c r="AJ109" s="84"/>
      <c r="AK109" s="84"/>
    </row>
    <row r="110" spans="9:37" ht="12.75" customHeight="1" x14ac:dyDescent="0.25">
      <c r="I110" s="84"/>
      <c r="J110" s="84"/>
      <c r="K110" s="84"/>
      <c r="N110" s="84"/>
      <c r="R110" s="84"/>
      <c r="S110" s="84"/>
      <c r="W110" s="84"/>
      <c r="Y110" s="84"/>
      <c r="AB110" s="84"/>
      <c r="AC110" s="84"/>
      <c r="AH110" s="84"/>
      <c r="AI110" s="84"/>
      <c r="AJ110" s="84"/>
      <c r="AK110" s="84"/>
    </row>
    <row r="111" spans="9:37" ht="12.75" customHeight="1" x14ac:dyDescent="0.25">
      <c r="I111" s="84"/>
      <c r="J111" s="84"/>
      <c r="K111" s="84"/>
      <c r="N111" s="84"/>
      <c r="R111" s="84"/>
      <c r="S111" s="84"/>
      <c r="W111" s="84"/>
      <c r="Y111" s="84"/>
      <c r="AB111" s="84"/>
      <c r="AC111" s="84"/>
      <c r="AH111" s="84"/>
      <c r="AI111" s="84"/>
      <c r="AJ111" s="84"/>
      <c r="AK111" s="84"/>
    </row>
    <row r="112" spans="9:37" ht="12.75" customHeight="1" x14ac:dyDescent="0.25">
      <c r="I112" s="84"/>
      <c r="J112" s="84"/>
      <c r="K112" s="84"/>
      <c r="N112" s="84"/>
      <c r="R112" s="84"/>
      <c r="S112" s="84"/>
      <c r="W112" s="84"/>
      <c r="Y112" s="84"/>
      <c r="AB112" s="84"/>
      <c r="AC112" s="84"/>
      <c r="AH112" s="84"/>
      <c r="AI112" s="84"/>
      <c r="AJ112" s="84"/>
      <c r="AK112" s="84"/>
    </row>
    <row r="113" spans="9:37" ht="12.75" customHeight="1" x14ac:dyDescent="0.25">
      <c r="I113" s="84"/>
      <c r="J113" s="84"/>
      <c r="K113" s="84"/>
      <c r="N113" s="84"/>
      <c r="R113" s="84"/>
      <c r="S113" s="84"/>
      <c r="W113" s="84"/>
      <c r="Y113" s="84"/>
      <c r="AB113" s="84"/>
      <c r="AC113" s="84"/>
      <c r="AH113" s="84"/>
      <c r="AI113" s="84"/>
      <c r="AJ113" s="84"/>
      <c r="AK113" s="84"/>
    </row>
    <row r="114" spans="9:37" ht="12.75" customHeight="1" x14ac:dyDescent="0.25">
      <c r="I114" s="84"/>
      <c r="J114" s="84"/>
      <c r="K114" s="84"/>
      <c r="N114" s="84"/>
      <c r="R114" s="84"/>
      <c r="S114" s="84"/>
      <c r="W114" s="84"/>
      <c r="Y114" s="84"/>
      <c r="AB114" s="84"/>
      <c r="AC114" s="84"/>
      <c r="AH114" s="84"/>
      <c r="AI114" s="84"/>
      <c r="AJ114" s="84"/>
      <c r="AK114" s="84"/>
    </row>
    <row r="115" spans="9:37" ht="12.75" customHeight="1" x14ac:dyDescent="0.25">
      <c r="I115" s="84"/>
      <c r="J115" s="84"/>
      <c r="K115" s="84"/>
      <c r="N115" s="84"/>
      <c r="R115" s="84"/>
      <c r="S115" s="84"/>
      <c r="W115" s="84"/>
      <c r="Y115" s="84"/>
      <c r="AB115" s="84"/>
      <c r="AC115" s="84"/>
      <c r="AH115" s="84"/>
      <c r="AI115" s="84"/>
      <c r="AJ115" s="84"/>
      <c r="AK115" s="84"/>
    </row>
    <row r="116" spans="9:37" ht="12.75" customHeight="1" x14ac:dyDescent="0.25">
      <c r="I116" s="84"/>
      <c r="J116" s="84"/>
      <c r="K116" s="84"/>
      <c r="N116" s="84"/>
      <c r="R116" s="84"/>
      <c r="S116" s="84"/>
      <c r="W116" s="84"/>
      <c r="Y116" s="84"/>
      <c r="AB116" s="84"/>
      <c r="AC116" s="84"/>
      <c r="AH116" s="84"/>
      <c r="AI116" s="84"/>
      <c r="AJ116" s="84"/>
      <c r="AK116" s="84"/>
    </row>
    <row r="117" spans="9:37" ht="12.75" customHeight="1" x14ac:dyDescent="0.25">
      <c r="I117" s="84"/>
      <c r="J117" s="84"/>
      <c r="K117" s="84"/>
      <c r="N117" s="84"/>
      <c r="R117" s="84"/>
      <c r="S117" s="84"/>
      <c r="W117" s="84"/>
      <c r="Y117" s="84"/>
      <c r="AB117" s="84"/>
      <c r="AC117" s="84"/>
      <c r="AH117" s="84"/>
      <c r="AI117" s="84"/>
      <c r="AJ117" s="84"/>
      <c r="AK117" s="84"/>
    </row>
    <row r="118" spans="9:37" ht="12.75" customHeight="1" x14ac:dyDescent="0.25">
      <c r="I118" s="84"/>
      <c r="J118" s="84"/>
      <c r="K118" s="84"/>
      <c r="N118" s="84"/>
      <c r="R118" s="84"/>
      <c r="S118" s="84"/>
      <c r="W118" s="84"/>
      <c r="Y118" s="84"/>
      <c r="AB118" s="84"/>
      <c r="AC118" s="84"/>
      <c r="AH118" s="84"/>
      <c r="AI118" s="84"/>
      <c r="AJ118" s="84"/>
      <c r="AK118" s="84"/>
    </row>
    <row r="119" spans="9:37" ht="12.75" customHeight="1" x14ac:dyDescent="0.25">
      <c r="I119" s="84"/>
      <c r="J119" s="84"/>
      <c r="K119" s="84"/>
      <c r="N119" s="84"/>
      <c r="R119" s="84"/>
      <c r="S119" s="84"/>
      <c r="W119" s="84"/>
      <c r="Y119" s="84"/>
      <c r="AB119" s="84"/>
      <c r="AC119" s="84"/>
      <c r="AH119" s="84"/>
      <c r="AI119" s="84"/>
      <c r="AJ119" s="84"/>
      <c r="AK119" s="84"/>
    </row>
    <row r="120" spans="9:37" ht="12.75" customHeight="1" x14ac:dyDescent="0.25">
      <c r="I120" s="84"/>
      <c r="J120" s="84"/>
      <c r="K120" s="84"/>
      <c r="N120" s="84"/>
      <c r="R120" s="84"/>
      <c r="S120" s="84"/>
      <c r="W120" s="84"/>
      <c r="Y120" s="84"/>
      <c r="AB120" s="84"/>
      <c r="AC120" s="84"/>
      <c r="AH120" s="84"/>
      <c r="AI120" s="84"/>
      <c r="AJ120" s="84"/>
      <c r="AK120" s="84"/>
    </row>
    <row r="121" spans="9:37" ht="12.75" customHeight="1" x14ac:dyDescent="0.25">
      <c r="I121" s="84"/>
      <c r="J121" s="84"/>
      <c r="K121" s="84"/>
      <c r="N121" s="84"/>
      <c r="R121" s="84"/>
      <c r="S121" s="84"/>
      <c r="W121" s="84"/>
      <c r="Y121" s="84"/>
      <c r="AB121" s="84"/>
      <c r="AC121" s="84"/>
      <c r="AH121" s="84"/>
      <c r="AI121" s="84"/>
      <c r="AJ121" s="84"/>
      <c r="AK121" s="84"/>
    </row>
    <row r="122" spans="9:37" ht="12.75" customHeight="1" x14ac:dyDescent="0.25">
      <c r="I122" s="84"/>
      <c r="J122" s="84"/>
      <c r="K122" s="84"/>
      <c r="N122" s="84"/>
      <c r="R122" s="84"/>
      <c r="S122" s="84"/>
      <c r="W122" s="84"/>
      <c r="Y122" s="84"/>
      <c r="AB122" s="84"/>
      <c r="AC122" s="84"/>
      <c r="AH122" s="84"/>
      <c r="AI122" s="84"/>
      <c r="AJ122" s="84"/>
      <c r="AK122" s="84"/>
    </row>
    <row r="123" spans="9:37" ht="12.75" customHeight="1" x14ac:dyDescent="0.25">
      <c r="I123" s="84"/>
      <c r="J123" s="84"/>
      <c r="K123" s="84"/>
      <c r="N123" s="84"/>
      <c r="R123" s="84"/>
      <c r="S123" s="84"/>
      <c r="W123" s="84"/>
      <c r="Y123" s="84"/>
      <c r="AB123" s="84"/>
      <c r="AC123" s="84"/>
      <c r="AH123" s="84"/>
      <c r="AI123" s="84"/>
      <c r="AJ123" s="84"/>
      <c r="AK123" s="84"/>
    </row>
    <row r="124" spans="9:37" ht="12.75" customHeight="1" x14ac:dyDescent="0.25">
      <c r="I124" s="84"/>
      <c r="J124" s="84"/>
      <c r="K124" s="84"/>
      <c r="N124" s="84"/>
      <c r="R124" s="84"/>
      <c r="S124" s="84"/>
      <c r="W124" s="84"/>
      <c r="Y124" s="84"/>
      <c r="AB124" s="84"/>
      <c r="AC124" s="84"/>
      <c r="AH124" s="84"/>
      <c r="AI124" s="84"/>
      <c r="AJ124" s="84"/>
      <c r="AK124" s="84"/>
    </row>
    <row r="125" spans="9:37" ht="12.75" customHeight="1" x14ac:dyDescent="0.25">
      <c r="I125" s="84"/>
      <c r="J125" s="84"/>
      <c r="K125" s="84"/>
      <c r="N125" s="84"/>
      <c r="R125" s="84"/>
      <c r="S125" s="84"/>
      <c r="W125" s="84"/>
      <c r="Y125" s="84"/>
      <c r="AB125" s="84"/>
      <c r="AC125" s="84"/>
      <c r="AH125" s="84"/>
      <c r="AI125" s="84"/>
      <c r="AJ125" s="84"/>
      <c r="AK125" s="84"/>
    </row>
    <row r="126" spans="9:37" ht="12.75" customHeight="1" x14ac:dyDescent="0.25">
      <c r="I126" s="84"/>
      <c r="J126" s="84"/>
      <c r="K126" s="84"/>
      <c r="N126" s="84"/>
      <c r="R126" s="84"/>
      <c r="S126" s="84"/>
      <c r="W126" s="84"/>
      <c r="Y126" s="84"/>
      <c r="AB126" s="84"/>
      <c r="AC126" s="84"/>
      <c r="AH126" s="84"/>
      <c r="AI126" s="84"/>
      <c r="AJ126" s="84"/>
      <c r="AK126" s="84"/>
    </row>
    <row r="127" spans="9:37" ht="12.75" customHeight="1" x14ac:dyDescent="0.25">
      <c r="I127" s="84"/>
      <c r="J127" s="84"/>
      <c r="K127" s="84"/>
      <c r="N127" s="84"/>
      <c r="R127" s="84"/>
      <c r="S127" s="84"/>
      <c r="W127" s="84"/>
      <c r="Y127" s="84"/>
      <c r="AB127" s="84"/>
      <c r="AC127" s="84"/>
      <c r="AH127" s="84"/>
      <c r="AI127" s="84"/>
      <c r="AJ127" s="84"/>
      <c r="AK127" s="84"/>
    </row>
    <row r="128" spans="9:37" ht="12.75" customHeight="1" x14ac:dyDescent="0.25">
      <c r="I128" s="84"/>
      <c r="J128" s="84"/>
      <c r="K128" s="84"/>
      <c r="N128" s="84"/>
      <c r="R128" s="84"/>
      <c r="S128" s="84"/>
      <c r="W128" s="84"/>
      <c r="Y128" s="84"/>
      <c r="AB128" s="84"/>
      <c r="AC128" s="84"/>
      <c r="AH128" s="84"/>
      <c r="AI128" s="84"/>
      <c r="AJ128" s="84"/>
      <c r="AK128" s="84"/>
    </row>
    <row r="129" spans="9:37" ht="12.75" customHeight="1" x14ac:dyDescent="0.25">
      <c r="I129" s="84"/>
      <c r="J129" s="84"/>
      <c r="K129" s="84"/>
      <c r="N129" s="84"/>
      <c r="R129" s="84"/>
      <c r="S129" s="84"/>
      <c r="W129" s="84"/>
      <c r="Y129" s="84"/>
      <c r="AB129" s="84"/>
      <c r="AC129" s="84"/>
      <c r="AH129" s="84"/>
      <c r="AI129" s="84"/>
      <c r="AJ129" s="84"/>
      <c r="AK129" s="84"/>
    </row>
    <row r="130" spans="9:37" ht="12.75" customHeight="1" x14ac:dyDescent="0.25">
      <c r="I130" s="84"/>
      <c r="J130" s="84"/>
      <c r="K130" s="84"/>
      <c r="N130" s="84"/>
      <c r="R130" s="84"/>
      <c r="S130" s="84"/>
      <c r="W130" s="84"/>
      <c r="Y130" s="84"/>
      <c r="AB130" s="84"/>
      <c r="AC130" s="84"/>
      <c r="AH130" s="84"/>
      <c r="AI130" s="84"/>
      <c r="AJ130" s="84"/>
      <c r="AK130" s="84"/>
    </row>
    <row r="131" spans="9:37" ht="12.75" customHeight="1" x14ac:dyDescent="0.25">
      <c r="I131" s="84"/>
      <c r="J131" s="84"/>
      <c r="K131" s="84"/>
      <c r="N131" s="84"/>
      <c r="R131" s="84"/>
      <c r="S131" s="84"/>
      <c r="W131" s="84"/>
      <c r="Y131" s="84"/>
      <c r="AB131" s="84"/>
      <c r="AC131" s="84"/>
      <c r="AH131" s="84"/>
      <c r="AI131" s="84"/>
      <c r="AJ131" s="84"/>
      <c r="AK131" s="84"/>
    </row>
    <row r="132" spans="9:37" ht="12.75" customHeight="1" x14ac:dyDescent="0.25">
      <c r="I132" s="84"/>
      <c r="J132" s="84"/>
      <c r="K132" s="84"/>
      <c r="N132" s="84"/>
      <c r="R132" s="84"/>
      <c r="S132" s="84"/>
      <c r="W132" s="84"/>
      <c r="Y132" s="84"/>
      <c r="AB132" s="84"/>
      <c r="AC132" s="84"/>
      <c r="AH132" s="84"/>
      <c r="AI132" s="84"/>
      <c r="AJ132" s="84"/>
      <c r="AK132" s="84"/>
    </row>
    <row r="133" spans="9:37" ht="12.75" customHeight="1" x14ac:dyDescent="0.25">
      <c r="I133" s="84"/>
      <c r="J133" s="84"/>
      <c r="K133" s="84"/>
      <c r="N133" s="84"/>
      <c r="R133" s="84"/>
      <c r="S133" s="84"/>
      <c r="W133" s="84"/>
      <c r="Y133" s="84"/>
      <c r="AB133" s="84"/>
      <c r="AC133" s="84"/>
      <c r="AH133" s="84"/>
      <c r="AI133" s="84"/>
      <c r="AJ133" s="84"/>
      <c r="AK133" s="84"/>
    </row>
    <row r="134" spans="9:37" ht="12.75" customHeight="1" x14ac:dyDescent="0.25">
      <c r="I134" s="84"/>
      <c r="J134" s="84"/>
      <c r="K134" s="84"/>
      <c r="N134" s="84"/>
      <c r="R134" s="84"/>
      <c r="S134" s="84"/>
      <c r="W134" s="84"/>
      <c r="Y134" s="84"/>
      <c r="AB134" s="84"/>
      <c r="AC134" s="84"/>
      <c r="AH134" s="84"/>
      <c r="AI134" s="84"/>
      <c r="AJ134" s="84"/>
      <c r="AK134" s="84"/>
    </row>
    <row r="135" spans="9:37" ht="12.75" customHeight="1" x14ac:dyDescent="0.25">
      <c r="I135" s="84"/>
      <c r="J135" s="84"/>
      <c r="K135" s="84"/>
      <c r="N135" s="84"/>
      <c r="R135" s="84"/>
      <c r="S135" s="84"/>
      <c r="W135" s="84"/>
      <c r="Y135" s="84"/>
      <c r="AB135" s="84"/>
      <c r="AC135" s="84"/>
      <c r="AH135" s="84"/>
      <c r="AI135" s="84"/>
      <c r="AJ135" s="84"/>
      <c r="AK135" s="84"/>
    </row>
    <row r="136" spans="9:37" ht="12.75" customHeight="1" x14ac:dyDescent="0.25">
      <c r="I136" s="84"/>
      <c r="J136" s="84"/>
      <c r="K136" s="84"/>
      <c r="N136" s="84"/>
      <c r="R136" s="84"/>
      <c r="S136" s="84"/>
      <c r="W136" s="84"/>
      <c r="Y136" s="84"/>
      <c r="AB136" s="84"/>
      <c r="AC136" s="84"/>
      <c r="AH136" s="84"/>
      <c r="AI136" s="84"/>
      <c r="AJ136" s="84"/>
      <c r="AK136" s="84"/>
    </row>
    <row r="137" spans="9:37" ht="12.75" customHeight="1" x14ac:dyDescent="0.25">
      <c r="I137" s="84"/>
      <c r="J137" s="84"/>
      <c r="K137" s="84"/>
      <c r="N137" s="84"/>
      <c r="R137" s="84"/>
      <c r="S137" s="84"/>
      <c r="W137" s="84"/>
      <c r="Y137" s="84"/>
      <c r="AB137" s="84"/>
      <c r="AC137" s="84"/>
      <c r="AH137" s="84"/>
      <c r="AI137" s="84"/>
      <c r="AJ137" s="84"/>
      <c r="AK137" s="84"/>
    </row>
    <row r="138" spans="9:37" ht="12.75" customHeight="1" x14ac:dyDescent="0.25">
      <c r="I138" s="84"/>
      <c r="J138" s="84"/>
      <c r="K138" s="84"/>
      <c r="N138" s="84"/>
      <c r="R138" s="84"/>
      <c r="S138" s="84"/>
      <c r="W138" s="84"/>
      <c r="Y138" s="84"/>
      <c r="AB138" s="84"/>
      <c r="AC138" s="84"/>
      <c r="AH138" s="84"/>
      <c r="AI138" s="84"/>
      <c r="AJ138" s="84"/>
      <c r="AK138" s="84"/>
    </row>
    <row r="139" spans="9:37" ht="12.75" customHeight="1" x14ac:dyDescent="0.25">
      <c r="I139" s="84"/>
      <c r="J139" s="84"/>
      <c r="K139" s="84"/>
      <c r="N139" s="84"/>
      <c r="R139" s="84"/>
      <c r="S139" s="84"/>
      <c r="W139" s="84"/>
      <c r="Y139" s="84"/>
      <c r="AB139" s="84"/>
      <c r="AC139" s="84"/>
      <c r="AH139" s="84"/>
      <c r="AI139" s="84"/>
      <c r="AJ139" s="84"/>
      <c r="AK139" s="84"/>
    </row>
    <row r="140" spans="9:37" ht="12.75" customHeight="1" x14ac:dyDescent="0.25">
      <c r="I140" s="84"/>
      <c r="J140" s="84"/>
      <c r="K140" s="84"/>
      <c r="N140" s="84"/>
      <c r="R140" s="84"/>
      <c r="S140" s="84"/>
      <c r="W140" s="84"/>
      <c r="Y140" s="84"/>
      <c r="AB140" s="84"/>
      <c r="AC140" s="84"/>
      <c r="AH140" s="84"/>
      <c r="AI140" s="84"/>
      <c r="AJ140" s="84"/>
      <c r="AK140" s="84"/>
    </row>
    <row r="141" spans="9:37" ht="12.75" customHeight="1" x14ac:dyDescent="0.25">
      <c r="I141" s="84"/>
      <c r="J141" s="84"/>
      <c r="K141" s="84"/>
      <c r="N141" s="84"/>
      <c r="R141" s="84"/>
      <c r="S141" s="84"/>
      <c r="W141" s="84"/>
      <c r="Y141" s="84"/>
      <c r="AB141" s="84"/>
      <c r="AC141" s="84"/>
      <c r="AH141" s="84"/>
      <c r="AI141" s="84"/>
      <c r="AJ141" s="84"/>
      <c r="AK141" s="84"/>
    </row>
    <row r="142" spans="9:37" ht="12.75" customHeight="1" x14ac:dyDescent="0.25">
      <c r="I142" s="84"/>
      <c r="J142" s="84"/>
      <c r="K142" s="84"/>
      <c r="N142" s="84"/>
      <c r="R142" s="84"/>
      <c r="S142" s="84"/>
      <c r="W142" s="84"/>
      <c r="Y142" s="84"/>
      <c r="AB142" s="84"/>
      <c r="AC142" s="84"/>
      <c r="AH142" s="84"/>
      <c r="AI142" s="84"/>
      <c r="AJ142" s="84"/>
      <c r="AK142" s="84"/>
    </row>
    <row r="143" spans="9:37" ht="12.75" customHeight="1" x14ac:dyDescent="0.25">
      <c r="I143" s="84"/>
      <c r="J143" s="84"/>
      <c r="K143" s="84"/>
      <c r="N143" s="84"/>
      <c r="R143" s="84"/>
      <c r="S143" s="84"/>
      <c r="W143" s="84"/>
      <c r="Y143" s="84"/>
      <c r="AB143" s="84"/>
      <c r="AC143" s="84"/>
      <c r="AH143" s="84"/>
      <c r="AI143" s="84"/>
      <c r="AJ143" s="84"/>
      <c r="AK143" s="84"/>
    </row>
    <row r="144" spans="9:37" ht="12.75" customHeight="1" x14ac:dyDescent="0.25">
      <c r="I144" s="84"/>
      <c r="J144" s="84"/>
      <c r="K144" s="84"/>
      <c r="N144" s="84"/>
      <c r="R144" s="84"/>
      <c r="S144" s="84"/>
      <c r="W144" s="84"/>
      <c r="Y144" s="84"/>
      <c r="AB144" s="84"/>
      <c r="AC144" s="84"/>
      <c r="AH144" s="84"/>
      <c r="AI144" s="84"/>
      <c r="AJ144" s="84"/>
      <c r="AK144" s="84"/>
    </row>
    <row r="145" spans="9:37" ht="12.75" customHeight="1" x14ac:dyDescent="0.25">
      <c r="I145" s="84"/>
      <c r="J145" s="84"/>
      <c r="K145" s="84"/>
      <c r="N145" s="84"/>
      <c r="R145" s="84"/>
      <c r="S145" s="84"/>
      <c r="W145" s="84"/>
      <c r="Y145" s="84"/>
      <c r="AB145" s="84"/>
      <c r="AC145" s="84"/>
      <c r="AH145" s="84"/>
      <c r="AI145" s="84"/>
      <c r="AJ145" s="84"/>
      <c r="AK145" s="84"/>
    </row>
    <row r="146" spans="9:37" ht="12.75" customHeight="1" x14ac:dyDescent="0.25">
      <c r="I146" s="84"/>
      <c r="J146" s="84"/>
      <c r="K146" s="84"/>
      <c r="N146" s="84"/>
      <c r="R146" s="84"/>
      <c r="S146" s="84"/>
      <c r="W146" s="84"/>
      <c r="Y146" s="84"/>
      <c r="AB146" s="84"/>
      <c r="AC146" s="84"/>
      <c r="AH146" s="84"/>
      <c r="AI146" s="84"/>
      <c r="AJ146" s="84"/>
      <c r="AK146" s="84"/>
    </row>
    <row r="147" spans="9:37" ht="12.75" customHeight="1" x14ac:dyDescent="0.25">
      <c r="I147" s="84"/>
      <c r="J147" s="84"/>
      <c r="K147" s="84"/>
      <c r="N147" s="84"/>
      <c r="R147" s="84"/>
      <c r="S147" s="84"/>
      <c r="W147" s="84"/>
      <c r="Y147" s="84"/>
      <c r="AB147" s="84"/>
      <c r="AC147" s="84"/>
      <c r="AH147" s="84"/>
      <c r="AI147" s="84"/>
      <c r="AJ147" s="84"/>
      <c r="AK147" s="84"/>
    </row>
    <row r="148" spans="9:37" ht="12.75" customHeight="1" x14ac:dyDescent="0.25">
      <c r="I148" s="84"/>
      <c r="J148" s="84"/>
      <c r="K148" s="84"/>
      <c r="N148" s="84"/>
      <c r="R148" s="84"/>
      <c r="S148" s="84"/>
      <c r="W148" s="84"/>
      <c r="Y148" s="84"/>
      <c r="AB148" s="84"/>
      <c r="AC148" s="84"/>
      <c r="AH148" s="84"/>
      <c r="AI148" s="84"/>
      <c r="AJ148" s="84"/>
      <c r="AK148" s="84"/>
    </row>
    <row r="149" spans="9:37" ht="12.75" customHeight="1" x14ac:dyDescent="0.25">
      <c r="I149" s="84"/>
      <c r="J149" s="84"/>
      <c r="K149" s="84"/>
      <c r="N149" s="84"/>
      <c r="R149" s="84"/>
      <c r="S149" s="84"/>
      <c r="W149" s="84"/>
      <c r="Y149" s="84"/>
      <c r="AB149" s="84"/>
      <c r="AC149" s="84"/>
      <c r="AH149" s="84"/>
      <c r="AI149" s="84"/>
      <c r="AJ149" s="84"/>
      <c r="AK149" s="84"/>
    </row>
    <row r="150" spans="9:37" ht="12.75" customHeight="1" x14ac:dyDescent="0.25">
      <c r="I150" s="84"/>
      <c r="J150" s="84"/>
      <c r="K150" s="84"/>
      <c r="N150" s="84"/>
      <c r="R150" s="84"/>
      <c r="S150" s="84"/>
      <c r="W150" s="84"/>
      <c r="Y150" s="84"/>
      <c r="AB150" s="84"/>
      <c r="AC150" s="84"/>
      <c r="AH150" s="84"/>
      <c r="AI150" s="84"/>
      <c r="AJ150" s="84"/>
      <c r="AK150" s="84"/>
    </row>
    <row r="151" spans="9:37" ht="12.75" customHeight="1" x14ac:dyDescent="0.25">
      <c r="I151" s="84"/>
      <c r="J151" s="84"/>
      <c r="K151" s="84"/>
      <c r="N151" s="84"/>
      <c r="R151" s="84"/>
      <c r="S151" s="84"/>
      <c r="W151" s="84"/>
      <c r="Y151" s="84"/>
      <c r="AB151" s="84"/>
      <c r="AC151" s="84"/>
      <c r="AH151" s="84"/>
      <c r="AI151" s="84"/>
      <c r="AJ151" s="84"/>
      <c r="AK151" s="84"/>
    </row>
    <row r="152" spans="9:37" ht="12.75" customHeight="1" x14ac:dyDescent="0.25">
      <c r="I152" s="84"/>
      <c r="J152" s="84"/>
      <c r="K152" s="84"/>
      <c r="N152" s="84"/>
      <c r="R152" s="84"/>
      <c r="S152" s="84"/>
      <c r="W152" s="84"/>
      <c r="Y152" s="84"/>
      <c r="AB152" s="84"/>
      <c r="AC152" s="84"/>
      <c r="AH152" s="84"/>
      <c r="AI152" s="84"/>
      <c r="AJ152" s="84"/>
      <c r="AK152" s="84"/>
    </row>
    <row r="153" spans="9:37" ht="12.75" customHeight="1" x14ac:dyDescent="0.25">
      <c r="I153" s="84"/>
      <c r="J153" s="84"/>
      <c r="K153" s="84"/>
      <c r="N153" s="84"/>
      <c r="R153" s="84"/>
      <c r="S153" s="84"/>
      <c r="W153" s="84"/>
      <c r="Y153" s="84"/>
      <c r="AB153" s="84"/>
      <c r="AC153" s="84"/>
      <c r="AH153" s="84"/>
      <c r="AI153" s="84"/>
      <c r="AJ153" s="84"/>
      <c r="AK153" s="84"/>
    </row>
    <row r="154" spans="9:37" ht="12.75" customHeight="1" x14ac:dyDescent="0.25">
      <c r="I154" s="84"/>
      <c r="J154" s="84"/>
      <c r="K154" s="84"/>
      <c r="N154" s="84"/>
      <c r="R154" s="84"/>
      <c r="S154" s="84"/>
      <c r="W154" s="84"/>
      <c r="Y154" s="84"/>
      <c r="AB154" s="84"/>
      <c r="AC154" s="84"/>
      <c r="AH154" s="84"/>
      <c r="AI154" s="84"/>
      <c r="AJ154" s="84"/>
      <c r="AK154" s="84"/>
    </row>
    <row r="155" spans="9:37" ht="12.75" customHeight="1" x14ac:dyDescent="0.25">
      <c r="I155" s="84"/>
      <c r="J155" s="84"/>
      <c r="K155" s="84"/>
      <c r="N155" s="84"/>
      <c r="R155" s="84"/>
      <c r="S155" s="84"/>
      <c r="W155" s="84"/>
      <c r="Y155" s="84"/>
      <c r="AB155" s="84"/>
      <c r="AC155" s="84"/>
      <c r="AH155" s="84"/>
      <c r="AI155" s="84"/>
      <c r="AJ155" s="84"/>
      <c r="AK155" s="84"/>
    </row>
    <row r="156" spans="9:37" ht="12.75" customHeight="1" x14ac:dyDescent="0.25">
      <c r="I156" s="84"/>
      <c r="J156" s="84"/>
      <c r="K156" s="84"/>
      <c r="N156" s="84"/>
      <c r="R156" s="84"/>
      <c r="S156" s="84"/>
      <c r="W156" s="84"/>
      <c r="Y156" s="84"/>
      <c r="AB156" s="84"/>
      <c r="AC156" s="84"/>
      <c r="AH156" s="84"/>
      <c r="AI156" s="84"/>
      <c r="AJ156" s="84"/>
      <c r="AK156" s="84"/>
    </row>
    <row r="157" spans="9:37" ht="12.75" customHeight="1" x14ac:dyDescent="0.25">
      <c r="I157" s="84"/>
      <c r="J157" s="84"/>
      <c r="K157" s="84"/>
      <c r="N157" s="84"/>
      <c r="R157" s="84"/>
      <c r="S157" s="84"/>
      <c r="W157" s="84"/>
      <c r="Y157" s="84"/>
      <c r="AB157" s="84"/>
      <c r="AC157" s="84"/>
      <c r="AH157" s="84"/>
      <c r="AI157" s="84"/>
      <c r="AJ157" s="84"/>
      <c r="AK157" s="84"/>
    </row>
    <row r="158" spans="9:37" ht="12.75" customHeight="1" x14ac:dyDescent="0.25">
      <c r="I158" s="84"/>
      <c r="J158" s="84"/>
      <c r="K158" s="84"/>
      <c r="N158" s="84"/>
      <c r="R158" s="84"/>
      <c r="S158" s="84"/>
      <c r="W158" s="84"/>
      <c r="Y158" s="84"/>
      <c r="AB158" s="84"/>
      <c r="AC158" s="84"/>
      <c r="AH158" s="84"/>
      <c r="AI158" s="84"/>
      <c r="AJ158" s="84"/>
      <c r="AK158" s="84"/>
    </row>
    <row r="159" spans="9:37" ht="12.75" customHeight="1" x14ac:dyDescent="0.25">
      <c r="I159" s="84"/>
      <c r="J159" s="84"/>
      <c r="K159" s="84"/>
      <c r="N159" s="84"/>
      <c r="R159" s="84"/>
      <c r="S159" s="84"/>
      <c r="W159" s="84"/>
      <c r="Y159" s="84"/>
      <c r="AB159" s="84"/>
      <c r="AC159" s="84"/>
      <c r="AH159" s="84"/>
      <c r="AI159" s="84"/>
      <c r="AJ159" s="84"/>
      <c r="AK159" s="84"/>
    </row>
    <row r="160" spans="9:37" ht="12.75" customHeight="1" x14ac:dyDescent="0.25">
      <c r="I160" s="84"/>
      <c r="J160" s="84"/>
      <c r="K160" s="84"/>
      <c r="N160" s="84"/>
      <c r="R160" s="84"/>
      <c r="S160" s="84"/>
      <c r="W160" s="84"/>
      <c r="Y160" s="84"/>
      <c r="AB160" s="84"/>
      <c r="AC160" s="84"/>
      <c r="AH160" s="84"/>
      <c r="AI160" s="84"/>
      <c r="AJ160" s="84"/>
      <c r="AK160" s="84"/>
    </row>
    <row r="161" spans="9:37" ht="12.75" customHeight="1" x14ac:dyDescent="0.25">
      <c r="I161" s="84"/>
      <c r="J161" s="84"/>
      <c r="K161" s="84"/>
      <c r="N161" s="84"/>
      <c r="R161" s="84"/>
      <c r="S161" s="84"/>
      <c r="W161" s="84"/>
      <c r="Y161" s="84"/>
      <c r="AB161" s="84"/>
      <c r="AC161" s="84"/>
      <c r="AH161" s="84"/>
      <c r="AI161" s="84"/>
      <c r="AJ161" s="84"/>
      <c r="AK161" s="84"/>
    </row>
    <row r="162" spans="9:37" ht="12.75" customHeight="1" x14ac:dyDescent="0.25">
      <c r="I162" s="84"/>
      <c r="J162" s="84"/>
      <c r="K162" s="84"/>
      <c r="N162" s="84"/>
      <c r="R162" s="84"/>
      <c r="S162" s="84"/>
      <c r="W162" s="84"/>
      <c r="Y162" s="84"/>
      <c r="AB162" s="84"/>
      <c r="AC162" s="84"/>
      <c r="AH162" s="84"/>
      <c r="AI162" s="84"/>
      <c r="AJ162" s="84"/>
      <c r="AK162" s="84"/>
    </row>
    <row r="163" spans="9:37" ht="12.75" customHeight="1" x14ac:dyDescent="0.25">
      <c r="I163" s="84"/>
      <c r="J163" s="84"/>
      <c r="K163" s="84"/>
      <c r="N163" s="84"/>
      <c r="R163" s="84"/>
      <c r="S163" s="84"/>
      <c r="W163" s="84"/>
      <c r="Y163" s="84"/>
      <c r="AB163" s="84"/>
      <c r="AC163" s="84"/>
      <c r="AH163" s="84"/>
      <c r="AI163" s="84"/>
      <c r="AJ163" s="84"/>
      <c r="AK163" s="84"/>
    </row>
    <row r="164" spans="9:37" ht="12.75" customHeight="1" x14ac:dyDescent="0.25">
      <c r="I164" s="84"/>
      <c r="J164" s="84"/>
      <c r="K164" s="84"/>
      <c r="N164" s="84"/>
      <c r="R164" s="84"/>
      <c r="S164" s="84"/>
      <c r="W164" s="84"/>
      <c r="Y164" s="84"/>
      <c r="AB164" s="84"/>
      <c r="AC164" s="84"/>
      <c r="AH164" s="84"/>
      <c r="AI164" s="84"/>
      <c r="AJ164" s="84"/>
      <c r="AK164" s="84"/>
    </row>
    <row r="165" spans="9:37" ht="12.75" customHeight="1" x14ac:dyDescent="0.25">
      <c r="I165" s="84"/>
      <c r="J165" s="84"/>
      <c r="K165" s="84"/>
      <c r="N165" s="84"/>
      <c r="R165" s="84"/>
      <c r="S165" s="84"/>
      <c r="W165" s="84"/>
      <c r="Y165" s="84"/>
      <c r="AB165" s="84"/>
      <c r="AC165" s="84"/>
      <c r="AH165" s="84"/>
      <c r="AI165" s="84"/>
      <c r="AJ165" s="84"/>
      <c r="AK165" s="84"/>
    </row>
    <row r="166" spans="9:37" ht="12.75" customHeight="1" x14ac:dyDescent="0.25">
      <c r="I166" s="84"/>
      <c r="J166" s="84"/>
      <c r="K166" s="84"/>
      <c r="N166" s="84"/>
      <c r="R166" s="84"/>
      <c r="S166" s="84"/>
      <c r="W166" s="84"/>
      <c r="Y166" s="84"/>
      <c r="AB166" s="84"/>
      <c r="AC166" s="84"/>
      <c r="AH166" s="84"/>
      <c r="AI166" s="84"/>
      <c r="AJ166" s="84"/>
      <c r="AK166" s="84"/>
    </row>
    <row r="167" spans="9:37" ht="12.75" customHeight="1" x14ac:dyDescent="0.25">
      <c r="I167" s="84"/>
      <c r="J167" s="84"/>
      <c r="K167" s="84"/>
      <c r="N167" s="84"/>
      <c r="R167" s="84"/>
      <c r="S167" s="84"/>
      <c r="W167" s="84"/>
      <c r="Y167" s="84"/>
      <c r="AB167" s="84"/>
      <c r="AC167" s="84"/>
      <c r="AH167" s="84"/>
      <c r="AI167" s="84"/>
      <c r="AJ167" s="84"/>
      <c r="AK167" s="84"/>
    </row>
    <row r="168" spans="9:37" ht="12.75" customHeight="1" x14ac:dyDescent="0.25">
      <c r="I168" s="84"/>
      <c r="J168" s="84"/>
      <c r="K168" s="84"/>
      <c r="N168" s="84"/>
      <c r="R168" s="84"/>
      <c r="S168" s="84"/>
      <c r="W168" s="84"/>
      <c r="Y168" s="84"/>
      <c r="AB168" s="84"/>
      <c r="AC168" s="84"/>
      <c r="AH168" s="84"/>
      <c r="AI168" s="84"/>
      <c r="AJ168" s="84"/>
      <c r="AK168" s="84"/>
    </row>
    <row r="169" spans="9:37" ht="12.75" customHeight="1" x14ac:dyDescent="0.25">
      <c r="I169" s="84"/>
      <c r="J169" s="84"/>
      <c r="K169" s="84"/>
      <c r="N169" s="84"/>
      <c r="R169" s="84"/>
      <c r="S169" s="84"/>
      <c r="W169" s="84"/>
      <c r="Y169" s="84"/>
      <c r="AB169" s="84"/>
      <c r="AC169" s="84"/>
      <c r="AH169" s="84"/>
      <c r="AI169" s="84"/>
      <c r="AJ169" s="84"/>
      <c r="AK169" s="84"/>
    </row>
    <row r="170" spans="9:37" ht="12.75" customHeight="1" x14ac:dyDescent="0.25">
      <c r="I170" s="84"/>
      <c r="J170" s="84"/>
      <c r="K170" s="84"/>
      <c r="N170" s="84"/>
      <c r="R170" s="84"/>
      <c r="S170" s="84"/>
      <c r="W170" s="84"/>
      <c r="Y170" s="84"/>
      <c r="AB170" s="84"/>
      <c r="AC170" s="84"/>
      <c r="AH170" s="84"/>
      <c r="AI170" s="84"/>
      <c r="AJ170" s="84"/>
      <c r="AK170" s="84"/>
    </row>
    <row r="171" spans="9:37" ht="12.75" customHeight="1" x14ac:dyDescent="0.25">
      <c r="I171" s="84"/>
      <c r="J171" s="84"/>
      <c r="K171" s="84"/>
      <c r="N171" s="84"/>
      <c r="R171" s="84"/>
      <c r="S171" s="84"/>
      <c r="W171" s="84"/>
      <c r="Y171" s="84"/>
      <c r="AB171" s="84"/>
      <c r="AC171" s="84"/>
      <c r="AH171" s="84"/>
      <c r="AI171" s="84"/>
      <c r="AJ171" s="84"/>
      <c r="AK171" s="84"/>
    </row>
    <row r="172" spans="9:37" ht="12.75" customHeight="1" x14ac:dyDescent="0.25">
      <c r="I172" s="84"/>
      <c r="J172" s="84"/>
      <c r="K172" s="84"/>
      <c r="N172" s="84"/>
      <c r="R172" s="84"/>
      <c r="S172" s="84"/>
      <c r="W172" s="84"/>
      <c r="Y172" s="84"/>
      <c r="AB172" s="84"/>
      <c r="AC172" s="84"/>
      <c r="AH172" s="84"/>
      <c r="AI172" s="84"/>
      <c r="AJ172" s="84"/>
      <c r="AK172" s="84"/>
    </row>
    <row r="173" spans="9:37" ht="12.75" customHeight="1" x14ac:dyDescent="0.25">
      <c r="I173" s="84"/>
      <c r="J173" s="84"/>
      <c r="K173" s="84"/>
      <c r="N173" s="84"/>
      <c r="R173" s="84"/>
      <c r="S173" s="84"/>
      <c r="W173" s="84"/>
      <c r="Y173" s="84"/>
      <c r="AB173" s="84"/>
      <c r="AC173" s="84"/>
      <c r="AH173" s="84"/>
      <c r="AI173" s="84"/>
      <c r="AJ173" s="84"/>
      <c r="AK173" s="84"/>
    </row>
    <row r="174" spans="9:37" ht="12.75" customHeight="1" x14ac:dyDescent="0.25">
      <c r="I174" s="84"/>
      <c r="J174" s="84"/>
      <c r="K174" s="84"/>
      <c r="N174" s="84"/>
      <c r="R174" s="84"/>
      <c r="S174" s="84"/>
      <c r="W174" s="84"/>
      <c r="Y174" s="84"/>
      <c r="AB174" s="84"/>
      <c r="AC174" s="84"/>
      <c r="AH174" s="84"/>
      <c r="AI174" s="84"/>
      <c r="AJ174" s="84"/>
      <c r="AK174" s="84"/>
    </row>
    <row r="175" spans="9:37" ht="12.75" customHeight="1" x14ac:dyDescent="0.25">
      <c r="I175" s="84"/>
      <c r="J175" s="84"/>
      <c r="K175" s="84"/>
      <c r="N175" s="84"/>
      <c r="R175" s="84"/>
      <c r="S175" s="84"/>
      <c r="W175" s="84"/>
      <c r="Y175" s="84"/>
      <c r="AB175" s="84"/>
      <c r="AC175" s="84"/>
      <c r="AH175" s="84"/>
      <c r="AI175" s="84"/>
      <c r="AJ175" s="84"/>
      <c r="AK175" s="84"/>
    </row>
    <row r="176" spans="9:37" ht="12.75" customHeight="1" x14ac:dyDescent="0.25">
      <c r="I176" s="84"/>
      <c r="J176" s="84"/>
      <c r="K176" s="84"/>
      <c r="N176" s="84"/>
      <c r="R176" s="84"/>
      <c r="S176" s="84"/>
      <c r="W176" s="84"/>
      <c r="Y176" s="84"/>
      <c r="AB176" s="84"/>
      <c r="AC176" s="84"/>
      <c r="AH176" s="84"/>
      <c r="AI176" s="84"/>
      <c r="AJ176" s="84"/>
      <c r="AK176" s="84"/>
    </row>
    <row r="177" spans="9:37" ht="12.75" customHeight="1" x14ac:dyDescent="0.25">
      <c r="I177" s="84"/>
      <c r="J177" s="84"/>
      <c r="K177" s="84"/>
      <c r="N177" s="84"/>
      <c r="R177" s="84"/>
      <c r="S177" s="84"/>
      <c r="W177" s="84"/>
      <c r="Y177" s="84"/>
      <c r="AB177" s="84"/>
      <c r="AC177" s="84"/>
      <c r="AH177" s="84"/>
      <c r="AI177" s="84"/>
      <c r="AJ177" s="84"/>
      <c r="AK177" s="84"/>
    </row>
    <row r="178" spans="9:37" ht="12.75" customHeight="1" x14ac:dyDescent="0.25">
      <c r="I178" s="84"/>
      <c r="J178" s="84"/>
      <c r="K178" s="84"/>
      <c r="N178" s="84"/>
      <c r="R178" s="84"/>
      <c r="S178" s="84"/>
      <c r="W178" s="84"/>
      <c r="Y178" s="84"/>
      <c r="AB178" s="84"/>
      <c r="AC178" s="84"/>
      <c r="AH178" s="84"/>
      <c r="AI178" s="84"/>
      <c r="AJ178" s="84"/>
      <c r="AK178" s="84"/>
    </row>
    <row r="179" spans="9:37" ht="12.75" customHeight="1" x14ac:dyDescent="0.25">
      <c r="I179" s="84"/>
      <c r="J179" s="84"/>
      <c r="K179" s="84"/>
      <c r="N179" s="84"/>
      <c r="R179" s="84"/>
      <c r="S179" s="84"/>
      <c r="W179" s="84"/>
      <c r="Y179" s="84"/>
      <c r="AB179" s="84"/>
      <c r="AC179" s="84"/>
      <c r="AH179" s="84"/>
      <c r="AI179" s="84"/>
      <c r="AJ179" s="84"/>
      <c r="AK179" s="84"/>
    </row>
    <row r="180" spans="9:37" ht="12.75" customHeight="1" x14ac:dyDescent="0.25">
      <c r="I180" s="84"/>
      <c r="J180" s="84"/>
      <c r="K180" s="84"/>
      <c r="N180" s="84"/>
      <c r="R180" s="84"/>
      <c r="S180" s="84"/>
      <c r="W180" s="84"/>
      <c r="Y180" s="84"/>
      <c r="AB180" s="84"/>
      <c r="AC180" s="84"/>
      <c r="AH180" s="84"/>
      <c r="AI180" s="84"/>
      <c r="AJ180" s="84"/>
      <c r="AK180" s="84"/>
    </row>
    <row r="181" spans="9:37" ht="12.75" customHeight="1" x14ac:dyDescent="0.25">
      <c r="I181" s="84"/>
      <c r="J181" s="84"/>
      <c r="K181" s="84"/>
      <c r="N181" s="84"/>
      <c r="R181" s="84"/>
      <c r="S181" s="84"/>
      <c r="W181" s="84"/>
      <c r="Y181" s="84"/>
      <c r="AB181" s="84"/>
      <c r="AC181" s="84"/>
      <c r="AH181" s="84"/>
      <c r="AI181" s="84"/>
      <c r="AJ181" s="84"/>
      <c r="AK181" s="84"/>
    </row>
    <row r="182" spans="9:37" ht="12.75" customHeight="1" x14ac:dyDescent="0.25">
      <c r="I182" s="84"/>
      <c r="J182" s="84"/>
      <c r="K182" s="84"/>
      <c r="N182" s="84"/>
      <c r="R182" s="84"/>
      <c r="S182" s="84"/>
      <c r="W182" s="84"/>
      <c r="Y182" s="84"/>
      <c r="AB182" s="84"/>
      <c r="AC182" s="84"/>
      <c r="AH182" s="84"/>
      <c r="AI182" s="84"/>
      <c r="AJ182" s="84"/>
      <c r="AK182" s="84"/>
    </row>
    <row r="183" spans="9:37" ht="12.75" customHeight="1" x14ac:dyDescent="0.25">
      <c r="I183" s="84"/>
      <c r="J183" s="84"/>
      <c r="K183" s="84"/>
      <c r="N183" s="84"/>
      <c r="R183" s="84"/>
      <c r="S183" s="84"/>
      <c r="W183" s="84"/>
      <c r="Y183" s="84"/>
      <c r="AB183" s="84"/>
      <c r="AC183" s="84"/>
      <c r="AH183" s="84"/>
      <c r="AI183" s="84"/>
      <c r="AJ183" s="84"/>
      <c r="AK183" s="84"/>
    </row>
    <row r="184" spans="9:37" ht="12.75" customHeight="1" x14ac:dyDescent="0.25">
      <c r="I184" s="84"/>
      <c r="J184" s="84"/>
      <c r="K184" s="84"/>
      <c r="N184" s="84"/>
      <c r="R184" s="84"/>
      <c r="S184" s="84"/>
      <c r="W184" s="84"/>
      <c r="Y184" s="84"/>
      <c r="AB184" s="84"/>
      <c r="AC184" s="84"/>
      <c r="AH184" s="84"/>
      <c r="AI184" s="84"/>
      <c r="AJ184" s="84"/>
      <c r="AK184" s="84"/>
    </row>
    <row r="185" spans="9:37" ht="12.75" customHeight="1" x14ac:dyDescent="0.25">
      <c r="I185" s="84"/>
      <c r="J185" s="84"/>
      <c r="K185" s="84"/>
      <c r="N185" s="84"/>
      <c r="R185" s="84"/>
      <c r="S185" s="84"/>
      <c r="W185" s="84"/>
      <c r="Y185" s="84"/>
      <c r="AB185" s="84"/>
      <c r="AC185" s="84"/>
      <c r="AH185" s="84"/>
      <c r="AI185" s="84"/>
      <c r="AJ185" s="84"/>
      <c r="AK185" s="84"/>
    </row>
    <row r="186" spans="9:37" ht="12.75" customHeight="1" x14ac:dyDescent="0.25">
      <c r="I186" s="84"/>
      <c r="J186" s="84"/>
      <c r="K186" s="84"/>
      <c r="N186" s="84"/>
      <c r="R186" s="84"/>
      <c r="S186" s="84"/>
      <c r="W186" s="84"/>
      <c r="Y186" s="84"/>
      <c r="AB186" s="84"/>
      <c r="AC186" s="84"/>
      <c r="AH186" s="84"/>
      <c r="AI186" s="84"/>
      <c r="AJ186" s="84"/>
      <c r="AK186" s="84"/>
    </row>
    <row r="187" spans="9:37" ht="12.75" customHeight="1" x14ac:dyDescent="0.25">
      <c r="I187" s="84"/>
      <c r="J187" s="84"/>
      <c r="K187" s="84"/>
      <c r="N187" s="84"/>
      <c r="R187" s="84"/>
      <c r="S187" s="84"/>
      <c r="W187" s="84"/>
      <c r="Y187" s="84"/>
      <c r="AB187" s="84"/>
      <c r="AC187" s="84"/>
      <c r="AH187" s="84"/>
      <c r="AI187" s="84"/>
      <c r="AJ187" s="84"/>
      <c r="AK187" s="84"/>
    </row>
    <row r="188" spans="9:37" ht="12.75" customHeight="1" x14ac:dyDescent="0.25">
      <c r="I188" s="84"/>
      <c r="J188" s="84"/>
      <c r="K188" s="84"/>
      <c r="N188" s="84"/>
      <c r="R188" s="84"/>
      <c r="S188" s="84"/>
      <c r="W188" s="84"/>
      <c r="Y188" s="84"/>
      <c r="AB188" s="84"/>
      <c r="AC188" s="84"/>
      <c r="AH188" s="84"/>
      <c r="AI188" s="84"/>
      <c r="AJ188" s="84"/>
      <c r="AK188" s="84"/>
    </row>
    <row r="189" spans="9:37" ht="12.75" customHeight="1" x14ac:dyDescent="0.25">
      <c r="I189" s="84"/>
      <c r="J189" s="84"/>
      <c r="K189" s="84"/>
      <c r="N189" s="84"/>
      <c r="R189" s="84"/>
      <c r="S189" s="84"/>
      <c r="W189" s="84"/>
      <c r="Y189" s="84"/>
      <c r="AB189" s="84"/>
      <c r="AC189" s="84"/>
      <c r="AH189" s="84"/>
      <c r="AI189" s="84"/>
      <c r="AJ189" s="84"/>
      <c r="AK189" s="84"/>
    </row>
    <row r="190" spans="9:37" ht="12.75" customHeight="1" x14ac:dyDescent="0.25">
      <c r="I190" s="84"/>
      <c r="J190" s="84"/>
      <c r="K190" s="84"/>
      <c r="N190" s="84"/>
      <c r="R190" s="84"/>
      <c r="S190" s="84"/>
      <c r="W190" s="84"/>
      <c r="Y190" s="84"/>
      <c r="AB190" s="84"/>
      <c r="AC190" s="84"/>
      <c r="AH190" s="84"/>
      <c r="AI190" s="84"/>
      <c r="AJ190" s="84"/>
      <c r="AK190" s="84"/>
    </row>
    <row r="191" spans="9:37" ht="12.75" customHeight="1" x14ac:dyDescent="0.25">
      <c r="I191" s="84"/>
      <c r="J191" s="84"/>
      <c r="K191" s="84"/>
      <c r="N191" s="84"/>
      <c r="R191" s="84"/>
      <c r="S191" s="84"/>
      <c r="W191" s="84"/>
      <c r="Y191" s="84"/>
      <c r="AB191" s="84"/>
      <c r="AC191" s="84"/>
      <c r="AH191" s="84"/>
      <c r="AI191" s="84"/>
      <c r="AJ191" s="84"/>
      <c r="AK191" s="84"/>
    </row>
    <row r="192" spans="9:37" ht="12.75" customHeight="1" x14ac:dyDescent="0.25">
      <c r="I192" s="84"/>
      <c r="J192" s="84"/>
      <c r="K192" s="84"/>
      <c r="N192" s="84"/>
      <c r="R192" s="84"/>
      <c r="S192" s="84"/>
      <c r="W192" s="84"/>
      <c r="Y192" s="84"/>
      <c r="AB192" s="84"/>
      <c r="AC192" s="84"/>
      <c r="AH192" s="84"/>
      <c r="AI192" s="84"/>
      <c r="AJ192" s="84"/>
      <c r="AK192" s="84"/>
    </row>
    <row r="193" spans="9:37" ht="12.75" customHeight="1" x14ac:dyDescent="0.25">
      <c r="I193" s="84"/>
      <c r="J193" s="84"/>
      <c r="K193" s="84"/>
      <c r="N193" s="84"/>
      <c r="R193" s="84"/>
      <c r="S193" s="84"/>
      <c r="W193" s="84"/>
      <c r="Y193" s="84"/>
      <c r="AB193" s="84"/>
      <c r="AC193" s="84"/>
      <c r="AH193" s="84"/>
      <c r="AI193" s="84"/>
      <c r="AJ193" s="84"/>
      <c r="AK193" s="84"/>
    </row>
    <row r="194" spans="9:37" ht="12.75" customHeight="1" x14ac:dyDescent="0.25">
      <c r="I194" s="84"/>
      <c r="J194" s="84"/>
      <c r="K194" s="84"/>
      <c r="N194" s="84"/>
      <c r="R194" s="84"/>
      <c r="S194" s="84"/>
      <c r="W194" s="84"/>
      <c r="Y194" s="84"/>
      <c r="AB194" s="84"/>
      <c r="AC194" s="84"/>
      <c r="AH194" s="84"/>
      <c r="AI194" s="84"/>
      <c r="AJ194" s="84"/>
      <c r="AK194" s="84"/>
    </row>
    <row r="195" spans="9:37" ht="12.75" customHeight="1" x14ac:dyDescent="0.25">
      <c r="I195" s="84"/>
      <c r="J195" s="84"/>
      <c r="K195" s="84"/>
      <c r="N195" s="84"/>
      <c r="R195" s="84"/>
      <c r="S195" s="84"/>
      <c r="W195" s="84"/>
      <c r="Y195" s="84"/>
      <c r="AB195" s="84"/>
      <c r="AC195" s="84"/>
      <c r="AH195" s="84"/>
      <c r="AI195" s="84"/>
      <c r="AJ195" s="84"/>
      <c r="AK195" s="84"/>
    </row>
    <row r="196" spans="9:37" ht="12.75" customHeight="1" x14ac:dyDescent="0.25">
      <c r="I196" s="84"/>
      <c r="J196" s="84"/>
      <c r="K196" s="84"/>
      <c r="N196" s="84"/>
      <c r="R196" s="84"/>
      <c r="S196" s="84"/>
      <c r="W196" s="84"/>
      <c r="Y196" s="84"/>
      <c r="AB196" s="84"/>
      <c r="AC196" s="84"/>
      <c r="AH196" s="84"/>
      <c r="AI196" s="84"/>
      <c r="AJ196" s="84"/>
      <c r="AK196" s="84"/>
    </row>
    <row r="197" spans="9:37" ht="12.75" customHeight="1" x14ac:dyDescent="0.25">
      <c r="I197" s="84"/>
      <c r="J197" s="84"/>
      <c r="K197" s="84"/>
      <c r="N197" s="84"/>
      <c r="R197" s="84"/>
      <c r="S197" s="84"/>
      <c r="W197" s="84"/>
      <c r="Y197" s="84"/>
      <c r="AB197" s="84"/>
      <c r="AC197" s="84"/>
      <c r="AH197" s="84"/>
      <c r="AI197" s="84"/>
      <c r="AJ197" s="84"/>
      <c r="AK197" s="84"/>
    </row>
    <row r="198" spans="9:37" ht="12.75" customHeight="1" x14ac:dyDescent="0.25">
      <c r="I198" s="84"/>
      <c r="J198" s="84"/>
      <c r="K198" s="84"/>
      <c r="N198" s="84"/>
      <c r="R198" s="84"/>
      <c r="S198" s="84"/>
      <c r="W198" s="84"/>
      <c r="Y198" s="84"/>
      <c r="AB198" s="84"/>
      <c r="AC198" s="84"/>
      <c r="AH198" s="84"/>
      <c r="AI198" s="84"/>
      <c r="AJ198" s="84"/>
      <c r="AK198" s="84"/>
    </row>
    <row r="199" spans="9:37" ht="12.75" customHeight="1" x14ac:dyDescent="0.25">
      <c r="I199" s="84"/>
      <c r="J199" s="84"/>
      <c r="K199" s="84"/>
      <c r="N199" s="84"/>
      <c r="R199" s="84"/>
      <c r="S199" s="84"/>
      <c r="W199" s="84"/>
      <c r="Y199" s="84"/>
      <c r="AB199" s="84"/>
      <c r="AC199" s="84"/>
      <c r="AH199" s="84"/>
      <c r="AI199" s="84"/>
      <c r="AJ199" s="84"/>
      <c r="AK199" s="84"/>
    </row>
    <row r="200" spans="9:37" ht="12.75" customHeight="1" x14ac:dyDescent="0.25">
      <c r="I200" s="84"/>
      <c r="J200" s="84"/>
      <c r="K200" s="84"/>
      <c r="N200" s="84"/>
      <c r="R200" s="84"/>
      <c r="S200" s="84"/>
      <c r="W200" s="84"/>
      <c r="Y200" s="84"/>
      <c r="AB200" s="84"/>
      <c r="AC200" s="84"/>
      <c r="AH200" s="84"/>
      <c r="AI200" s="84"/>
      <c r="AJ200" s="84"/>
      <c r="AK200" s="84"/>
    </row>
    <row r="201" spans="9:37" ht="12.75" customHeight="1" x14ac:dyDescent="0.25">
      <c r="I201" s="84"/>
      <c r="J201" s="84"/>
      <c r="K201" s="84"/>
      <c r="N201" s="84"/>
      <c r="R201" s="84"/>
      <c r="S201" s="84"/>
      <c r="W201" s="84"/>
      <c r="Y201" s="84"/>
      <c r="AB201" s="84"/>
      <c r="AC201" s="84"/>
      <c r="AH201" s="84"/>
      <c r="AI201" s="84"/>
      <c r="AJ201" s="84"/>
      <c r="AK201" s="84"/>
    </row>
    <row r="202" spans="9:37" ht="12.75" customHeight="1" x14ac:dyDescent="0.25">
      <c r="I202" s="84"/>
      <c r="J202" s="84"/>
      <c r="K202" s="84"/>
      <c r="N202" s="84"/>
      <c r="R202" s="84"/>
      <c r="S202" s="84"/>
      <c r="W202" s="84"/>
      <c r="Y202" s="84"/>
      <c r="AB202" s="84"/>
      <c r="AC202" s="84"/>
      <c r="AH202" s="84"/>
      <c r="AI202" s="84"/>
      <c r="AJ202" s="84"/>
      <c r="AK202" s="84"/>
    </row>
    <row r="203" spans="9:37" ht="12.75" customHeight="1" x14ac:dyDescent="0.25">
      <c r="I203" s="84"/>
      <c r="J203" s="84"/>
      <c r="K203" s="84"/>
      <c r="N203" s="84"/>
      <c r="R203" s="84"/>
      <c r="S203" s="84"/>
      <c r="W203" s="84"/>
      <c r="Y203" s="84"/>
      <c r="AB203" s="84"/>
      <c r="AC203" s="84"/>
      <c r="AH203" s="84"/>
      <c r="AI203" s="84"/>
      <c r="AJ203" s="84"/>
      <c r="AK203" s="84"/>
    </row>
    <row r="204" spans="9:37" ht="12.75" customHeight="1" x14ac:dyDescent="0.25">
      <c r="I204" s="84"/>
      <c r="J204" s="84"/>
      <c r="K204" s="84"/>
      <c r="N204" s="84"/>
      <c r="R204" s="84"/>
      <c r="S204" s="84"/>
      <c r="W204" s="84"/>
      <c r="Y204" s="84"/>
      <c r="AB204" s="84"/>
      <c r="AC204" s="84"/>
      <c r="AH204" s="84"/>
      <c r="AI204" s="84"/>
      <c r="AJ204" s="84"/>
      <c r="AK204" s="84"/>
    </row>
    <row r="205" spans="9:37" ht="12.75" customHeight="1" x14ac:dyDescent="0.25">
      <c r="I205" s="84"/>
      <c r="J205" s="84"/>
      <c r="K205" s="84"/>
      <c r="N205" s="84"/>
      <c r="R205" s="84"/>
      <c r="S205" s="84"/>
      <c r="W205" s="84"/>
      <c r="Y205" s="84"/>
      <c r="AB205" s="84"/>
      <c r="AC205" s="84"/>
      <c r="AH205" s="84"/>
      <c r="AI205" s="84"/>
      <c r="AJ205" s="84"/>
      <c r="AK205" s="84"/>
    </row>
    <row r="206" spans="9:37" ht="12.75" customHeight="1" x14ac:dyDescent="0.25">
      <c r="I206" s="84"/>
      <c r="J206" s="84"/>
      <c r="K206" s="84"/>
      <c r="N206" s="84"/>
      <c r="R206" s="84"/>
      <c r="S206" s="84"/>
      <c r="W206" s="84"/>
      <c r="Y206" s="84"/>
      <c r="AB206" s="84"/>
      <c r="AC206" s="84"/>
      <c r="AH206" s="84"/>
      <c r="AI206" s="84"/>
      <c r="AJ206" s="84"/>
      <c r="AK206" s="84"/>
    </row>
    <row r="207" spans="9:37" ht="12.75" customHeight="1" x14ac:dyDescent="0.25">
      <c r="I207" s="84"/>
      <c r="J207" s="84"/>
      <c r="K207" s="84"/>
      <c r="N207" s="84"/>
      <c r="R207" s="84"/>
      <c r="S207" s="84"/>
      <c r="W207" s="84"/>
      <c r="Y207" s="84"/>
      <c r="AB207" s="84"/>
      <c r="AC207" s="84"/>
      <c r="AH207" s="84"/>
      <c r="AI207" s="84"/>
      <c r="AJ207" s="84"/>
      <c r="AK207" s="84"/>
    </row>
    <row r="208" spans="9:37" ht="12.75" customHeight="1" x14ac:dyDescent="0.25">
      <c r="I208" s="84"/>
      <c r="J208" s="84"/>
      <c r="K208" s="84"/>
      <c r="N208" s="84"/>
      <c r="R208" s="84"/>
      <c r="S208" s="84"/>
      <c r="W208" s="84"/>
      <c r="Y208" s="84"/>
      <c r="AB208" s="84"/>
      <c r="AC208" s="84"/>
      <c r="AH208" s="84"/>
      <c r="AI208" s="84"/>
      <c r="AJ208" s="84"/>
      <c r="AK208" s="84"/>
    </row>
    <row r="209" spans="9:37" ht="12.75" customHeight="1" x14ac:dyDescent="0.25">
      <c r="I209" s="84"/>
      <c r="J209" s="84"/>
      <c r="K209" s="84"/>
      <c r="N209" s="84"/>
      <c r="R209" s="84"/>
      <c r="S209" s="84"/>
      <c r="W209" s="84"/>
      <c r="Y209" s="84"/>
      <c r="AB209" s="84"/>
      <c r="AC209" s="84"/>
      <c r="AH209" s="84"/>
      <c r="AI209" s="84"/>
      <c r="AJ209" s="84"/>
      <c r="AK209" s="84"/>
    </row>
    <row r="210" spans="9:37" ht="12.75" customHeight="1" x14ac:dyDescent="0.25">
      <c r="I210" s="84"/>
      <c r="J210" s="84"/>
      <c r="K210" s="84"/>
      <c r="N210" s="84"/>
      <c r="R210" s="84"/>
      <c r="S210" s="84"/>
      <c r="W210" s="84"/>
      <c r="Y210" s="84"/>
      <c r="AB210" s="84"/>
      <c r="AC210" s="84"/>
      <c r="AH210" s="84"/>
      <c r="AI210" s="84"/>
      <c r="AJ210" s="84"/>
      <c r="AK210" s="84"/>
    </row>
    <row r="211" spans="9:37" ht="12.75" customHeight="1" x14ac:dyDescent="0.25">
      <c r="I211" s="84"/>
      <c r="J211" s="84"/>
      <c r="K211" s="84"/>
      <c r="N211" s="84"/>
      <c r="R211" s="84"/>
      <c r="S211" s="84"/>
      <c r="W211" s="84"/>
      <c r="Y211" s="84"/>
      <c r="AB211" s="84"/>
      <c r="AC211" s="84"/>
      <c r="AH211" s="84"/>
      <c r="AI211" s="84"/>
      <c r="AJ211" s="84"/>
      <c r="AK211" s="84"/>
    </row>
    <row r="212" spans="9:37" ht="12.75" customHeight="1" x14ac:dyDescent="0.25">
      <c r="I212" s="84"/>
      <c r="J212" s="84"/>
      <c r="K212" s="84"/>
      <c r="N212" s="84"/>
      <c r="R212" s="84"/>
      <c r="S212" s="84"/>
      <c r="W212" s="84"/>
      <c r="Y212" s="84"/>
      <c r="AB212" s="84"/>
      <c r="AC212" s="84"/>
      <c r="AH212" s="84"/>
      <c r="AI212" s="84"/>
      <c r="AJ212" s="84"/>
      <c r="AK212" s="84"/>
    </row>
    <row r="213" spans="9:37" ht="12.75" customHeight="1" x14ac:dyDescent="0.25">
      <c r="I213" s="84"/>
      <c r="J213" s="84"/>
      <c r="K213" s="84"/>
      <c r="N213" s="84"/>
      <c r="R213" s="84"/>
      <c r="S213" s="84"/>
      <c r="W213" s="84"/>
      <c r="Y213" s="84"/>
      <c r="AB213" s="84"/>
      <c r="AC213" s="84"/>
      <c r="AH213" s="84"/>
      <c r="AI213" s="84"/>
      <c r="AJ213" s="84"/>
      <c r="AK213" s="84"/>
    </row>
    <row r="214" spans="9:37" ht="12.75" customHeight="1" x14ac:dyDescent="0.25">
      <c r="I214" s="84"/>
      <c r="J214" s="84"/>
      <c r="K214" s="84"/>
      <c r="N214" s="84"/>
      <c r="R214" s="84"/>
      <c r="S214" s="84"/>
      <c r="W214" s="84"/>
      <c r="Y214" s="84"/>
      <c r="AB214" s="84"/>
      <c r="AC214" s="84"/>
      <c r="AH214" s="84"/>
      <c r="AI214" s="84"/>
      <c r="AJ214" s="84"/>
      <c r="AK214" s="84"/>
    </row>
    <row r="215" spans="9:37" ht="12.75" customHeight="1" x14ac:dyDescent="0.25">
      <c r="I215" s="84"/>
      <c r="J215" s="84"/>
      <c r="K215" s="84"/>
      <c r="N215" s="84"/>
      <c r="R215" s="84"/>
      <c r="S215" s="84"/>
      <c r="W215" s="84"/>
      <c r="Y215" s="84"/>
      <c r="AB215" s="84"/>
      <c r="AC215" s="84"/>
      <c r="AH215" s="84"/>
      <c r="AI215" s="84"/>
      <c r="AJ215" s="84"/>
      <c r="AK215" s="84"/>
    </row>
    <row r="216" spans="9:37" ht="12.75" customHeight="1" x14ac:dyDescent="0.25">
      <c r="I216" s="84"/>
      <c r="J216" s="84"/>
      <c r="K216" s="84"/>
      <c r="N216" s="84"/>
      <c r="R216" s="84"/>
      <c r="S216" s="84"/>
      <c r="W216" s="84"/>
      <c r="Y216" s="84"/>
      <c r="AB216" s="84"/>
      <c r="AC216" s="84"/>
      <c r="AH216" s="84"/>
      <c r="AI216" s="84"/>
      <c r="AJ216" s="84"/>
      <c r="AK216" s="84"/>
    </row>
    <row r="217" spans="9:37" ht="12.75" customHeight="1" x14ac:dyDescent="0.25">
      <c r="I217" s="84"/>
      <c r="J217" s="84"/>
      <c r="K217" s="84"/>
      <c r="N217" s="84"/>
      <c r="R217" s="84"/>
      <c r="S217" s="84"/>
      <c r="W217" s="84"/>
      <c r="Y217" s="84"/>
      <c r="AB217" s="84"/>
      <c r="AC217" s="84"/>
      <c r="AH217" s="84"/>
      <c r="AI217" s="84"/>
      <c r="AJ217" s="84"/>
      <c r="AK217" s="84"/>
    </row>
    <row r="218" spans="9:37" ht="12.75" customHeight="1" x14ac:dyDescent="0.25">
      <c r="I218" s="84"/>
      <c r="J218" s="84"/>
      <c r="K218" s="84"/>
      <c r="N218" s="84"/>
      <c r="R218" s="84"/>
      <c r="S218" s="84"/>
      <c r="W218" s="84"/>
      <c r="Y218" s="84"/>
      <c r="AB218" s="84"/>
      <c r="AC218" s="84"/>
      <c r="AH218" s="84"/>
      <c r="AI218" s="84"/>
      <c r="AJ218" s="84"/>
      <c r="AK218" s="84"/>
    </row>
    <row r="219" spans="9:37" ht="12.75" customHeight="1" x14ac:dyDescent="0.25">
      <c r="I219" s="84"/>
      <c r="J219" s="84"/>
      <c r="K219" s="84"/>
      <c r="N219" s="84"/>
      <c r="R219" s="84"/>
      <c r="S219" s="84"/>
      <c r="W219" s="84"/>
      <c r="Y219" s="84"/>
      <c r="AB219" s="84"/>
      <c r="AC219" s="84"/>
      <c r="AH219" s="84"/>
      <c r="AI219" s="84"/>
      <c r="AJ219" s="84"/>
      <c r="AK219" s="84"/>
    </row>
    <row r="220" spans="9:37" ht="12.75" customHeight="1" x14ac:dyDescent="0.25">
      <c r="I220" s="84"/>
      <c r="J220" s="84"/>
      <c r="K220" s="84"/>
      <c r="N220" s="84"/>
      <c r="R220" s="84"/>
      <c r="S220" s="84"/>
      <c r="W220" s="84"/>
      <c r="Y220" s="84"/>
      <c r="AB220" s="84"/>
      <c r="AC220" s="84"/>
      <c r="AH220" s="84"/>
      <c r="AI220" s="84"/>
      <c r="AJ220" s="84"/>
      <c r="AK220" s="84"/>
    </row>
    <row r="221" spans="9:37" ht="12.75" customHeight="1" x14ac:dyDescent="0.25">
      <c r="I221" s="84"/>
      <c r="J221" s="84"/>
      <c r="K221" s="84"/>
      <c r="N221" s="84"/>
      <c r="R221" s="84"/>
      <c r="S221" s="84"/>
      <c r="W221" s="84"/>
      <c r="Y221" s="84"/>
      <c r="AB221" s="84"/>
      <c r="AC221" s="84"/>
      <c r="AH221" s="84"/>
      <c r="AI221" s="84"/>
      <c r="AJ221" s="84"/>
      <c r="AK221" s="84"/>
    </row>
    <row r="222" spans="9:37" ht="12.75" customHeight="1" x14ac:dyDescent="0.25">
      <c r="I222" s="84"/>
      <c r="J222" s="84"/>
      <c r="K222" s="84"/>
      <c r="N222" s="84"/>
      <c r="R222" s="84"/>
      <c r="S222" s="84"/>
      <c r="W222" s="84"/>
      <c r="Y222" s="84"/>
      <c r="AB222" s="84"/>
      <c r="AC222" s="84"/>
      <c r="AH222" s="84"/>
      <c r="AI222" s="84"/>
      <c r="AJ222" s="84"/>
      <c r="AK222" s="84"/>
    </row>
    <row r="223" spans="9:37" ht="12.75" customHeight="1" x14ac:dyDescent="0.25">
      <c r="I223" s="84"/>
      <c r="J223" s="84"/>
      <c r="K223" s="84"/>
      <c r="N223" s="84"/>
      <c r="R223" s="84"/>
      <c r="S223" s="84"/>
      <c r="W223" s="84"/>
      <c r="Y223" s="84"/>
      <c r="AB223" s="84"/>
      <c r="AC223" s="84"/>
      <c r="AH223" s="84"/>
      <c r="AI223" s="84"/>
      <c r="AJ223" s="84"/>
      <c r="AK223" s="84"/>
    </row>
    <row r="224" spans="9:37" ht="12.75" customHeight="1" x14ac:dyDescent="0.25">
      <c r="I224" s="84"/>
      <c r="J224" s="84"/>
      <c r="K224" s="84"/>
      <c r="N224" s="84"/>
      <c r="R224" s="84"/>
      <c r="S224" s="84"/>
      <c r="W224" s="84"/>
      <c r="Y224" s="84"/>
      <c r="AB224" s="84"/>
      <c r="AC224" s="84"/>
      <c r="AH224" s="84"/>
      <c r="AI224" s="84"/>
      <c r="AJ224" s="84"/>
      <c r="AK224" s="84"/>
    </row>
    <row r="225" spans="9:37" ht="12.75" customHeight="1" x14ac:dyDescent="0.25">
      <c r="I225" s="84"/>
      <c r="J225" s="84"/>
      <c r="K225" s="84"/>
      <c r="N225" s="84"/>
      <c r="R225" s="84"/>
      <c r="S225" s="84"/>
      <c r="W225" s="84"/>
      <c r="Y225" s="84"/>
      <c r="AB225" s="84"/>
      <c r="AC225" s="84"/>
      <c r="AH225" s="84"/>
      <c r="AI225" s="84"/>
      <c r="AJ225" s="84"/>
      <c r="AK225" s="84"/>
    </row>
    <row r="226" spans="9:37" ht="12.75" customHeight="1" x14ac:dyDescent="0.25">
      <c r="I226" s="84"/>
      <c r="J226" s="84"/>
      <c r="K226" s="84"/>
      <c r="N226" s="84"/>
      <c r="R226" s="84"/>
      <c r="S226" s="84"/>
      <c r="W226" s="84"/>
      <c r="Y226" s="84"/>
      <c r="AB226" s="84"/>
      <c r="AC226" s="84"/>
      <c r="AH226" s="84"/>
      <c r="AI226" s="84"/>
      <c r="AJ226" s="84"/>
      <c r="AK226" s="84"/>
    </row>
    <row r="227" spans="9:37" ht="12.75" customHeight="1" x14ac:dyDescent="0.25">
      <c r="I227" s="84"/>
      <c r="J227" s="84"/>
      <c r="K227" s="84"/>
      <c r="N227" s="84"/>
      <c r="R227" s="84"/>
      <c r="S227" s="84"/>
      <c r="W227" s="84"/>
      <c r="Y227" s="84"/>
      <c r="AB227" s="84"/>
      <c r="AC227" s="84"/>
      <c r="AH227" s="84"/>
      <c r="AI227" s="84"/>
      <c r="AJ227" s="84"/>
      <c r="AK227" s="84"/>
    </row>
    <row r="228" spans="9:37" ht="12.75" customHeight="1" x14ac:dyDescent="0.25">
      <c r="I228" s="84"/>
      <c r="J228" s="84"/>
      <c r="K228" s="84"/>
      <c r="N228" s="84"/>
      <c r="R228" s="84"/>
      <c r="S228" s="84"/>
      <c r="W228" s="84"/>
      <c r="Y228" s="84"/>
      <c r="AB228" s="84"/>
      <c r="AC228" s="84"/>
      <c r="AH228" s="84"/>
      <c r="AI228" s="84"/>
      <c r="AJ228" s="84"/>
      <c r="AK228" s="84"/>
    </row>
    <row r="229" spans="9:37" ht="12.75" customHeight="1" x14ac:dyDescent="0.25">
      <c r="I229" s="84"/>
      <c r="J229" s="84"/>
      <c r="K229" s="84"/>
      <c r="N229" s="84"/>
      <c r="R229" s="84"/>
      <c r="S229" s="84"/>
      <c r="W229" s="84"/>
      <c r="Y229" s="84"/>
      <c r="AB229" s="84"/>
      <c r="AC229" s="84"/>
      <c r="AH229" s="84"/>
      <c r="AI229" s="84"/>
      <c r="AJ229" s="84"/>
      <c r="AK229" s="84"/>
    </row>
    <row r="230" spans="9:37" ht="12.75" customHeight="1" x14ac:dyDescent="0.25">
      <c r="I230" s="84"/>
      <c r="J230" s="84"/>
      <c r="K230" s="84"/>
      <c r="N230" s="84"/>
      <c r="R230" s="84"/>
      <c r="S230" s="84"/>
      <c r="W230" s="84"/>
      <c r="Y230" s="84"/>
      <c r="AB230" s="84"/>
      <c r="AC230" s="84"/>
      <c r="AH230" s="84"/>
      <c r="AI230" s="84"/>
      <c r="AJ230" s="84"/>
      <c r="AK230" s="84"/>
    </row>
    <row r="231" spans="9:37" ht="12.75" customHeight="1" x14ac:dyDescent="0.25">
      <c r="I231" s="84"/>
      <c r="J231" s="84"/>
      <c r="K231" s="84"/>
      <c r="N231" s="84"/>
      <c r="R231" s="84"/>
      <c r="S231" s="84"/>
      <c r="W231" s="84"/>
      <c r="Y231" s="84"/>
      <c r="AB231" s="84"/>
      <c r="AC231" s="84"/>
      <c r="AH231" s="84"/>
      <c r="AI231" s="84"/>
      <c r="AJ231" s="84"/>
      <c r="AK231" s="84"/>
    </row>
    <row r="232" spans="9:37" ht="12.75" customHeight="1" x14ac:dyDescent="0.25">
      <c r="I232" s="84"/>
      <c r="J232" s="84"/>
      <c r="K232" s="84"/>
      <c r="N232" s="84"/>
      <c r="R232" s="84"/>
      <c r="S232" s="84"/>
      <c r="W232" s="84"/>
      <c r="Y232" s="84"/>
      <c r="AB232" s="84"/>
      <c r="AC232" s="84"/>
      <c r="AH232" s="84"/>
      <c r="AI232" s="84"/>
      <c r="AJ232" s="84"/>
      <c r="AK232" s="84"/>
    </row>
    <row r="233" spans="9:37" ht="12.75" customHeight="1" x14ac:dyDescent="0.25">
      <c r="I233" s="84"/>
      <c r="J233" s="84"/>
      <c r="K233" s="84"/>
      <c r="N233" s="84"/>
      <c r="R233" s="84"/>
      <c r="S233" s="84"/>
      <c r="W233" s="84"/>
      <c r="Y233" s="84"/>
      <c r="AB233" s="84"/>
      <c r="AC233" s="84"/>
      <c r="AH233" s="84"/>
      <c r="AI233" s="84"/>
      <c r="AJ233" s="84"/>
      <c r="AK233" s="84"/>
    </row>
    <row r="234" spans="9:37" ht="12.75" customHeight="1" x14ac:dyDescent="0.25">
      <c r="I234" s="84"/>
      <c r="J234" s="84"/>
      <c r="K234" s="84"/>
      <c r="N234" s="84"/>
      <c r="R234" s="84"/>
      <c r="S234" s="84"/>
      <c r="W234" s="84"/>
      <c r="Y234" s="84"/>
      <c r="AB234" s="84"/>
      <c r="AC234" s="84"/>
      <c r="AH234" s="84"/>
      <c r="AI234" s="84"/>
      <c r="AJ234" s="84"/>
      <c r="AK234" s="84"/>
    </row>
    <row r="235" spans="9:37" ht="12.75" customHeight="1" x14ac:dyDescent="0.25">
      <c r="I235" s="84"/>
      <c r="J235" s="84"/>
      <c r="K235" s="84"/>
      <c r="N235" s="84"/>
      <c r="R235" s="84"/>
      <c r="S235" s="84"/>
      <c r="W235" s="84"/>
      <c r="Y235" s="84"/>
      <c r="AB235" s="84"/>
      <c r="AC235" s="84"/>
      <c r="AH235" s="84"/>
      <c r="AI235" s="84"/>
      <c r="AJ235" s="84"/>
      <c r="AK235" s="84"/>
    </row>
    <row r="236" spans="9:37" ht="12.75" customHeight="1" x14ac:dyDescent="0.25">
      <c r="I236" s="84"/>
      <c r="J236" s="84"/>
      <c r="K236" s="84"/>
      <c r="N236" s="84"/>
      <c r="R236" s="84"/>
      <c r="S236" s="84"/>
      <c r="W236" s="84"/>
      <c r="Y236" s="84"/>
      <c r="AB236" s="84"/>
      <c r="AC236" s="84"/>
      <c r="AH236" s="84"/>
      <c r="AI236" s="84"/>
      <c r="AJ236" s="84"/>
      <c r="AK236" s="84"/>
    </row>
    <row r="237" spans="9:37" ht="12.75" customHeight="1" x14ac:dyDescent="0.25">
      <c r="I237" s="84"/>
      <c r="J237" s="84"/>
      <c r="K237" s="84"/>
      <c r="N237" s="84"/>
      <c r="R237" s="84"/>
      <c r="S237" s="84"/>
      <c r="W237" s="84"/>
      <c r="Y237" s="84"/>
      <c r="AB237" s="84"/>
      <c r="AC237" s="84"/>
      <c r="AH237" s="84"/>
      <c r="AI237" s="84"/>
      <c r="AJ237" s="84"/>
      <c r="AK237" s="84"/>
    </row>
    <row r="238" spans="9:37" ht="12.75" customHeight="1" x14ac:dyDescent="0.25">
      <c r="I238" s="84"/>
      <c r="J238" s="84"/>
      <c r="K238" s="84"/>
      <c r="N238" s="84"/>
      <c r="R238" s="84"/>
      <c r="S238" s="84"/>
      <c r="W238" s="84"/>
      <c r="Y238" s="84"/>
      <c r="AB238" s="84"/>
      <c r="AC238" s="84"/>
      <c r="AH238" s="84"/>
      <c r="AI238" s="84"/>
      <c r="AJ238" s="84"/>
      <c r="AK238" s="84"/>
    </row>
    <row r="239" spans="9:37" ht="12.75" customHeight="1" x14ac:dyDescent="0.25">
      <c r="I239" s="84"/>
      <c r="J239" s="84"/>
      <c r="K239" s="84"/>
      <c r="N239" s="84"/>
      <c r="R239" s="84"/>
      <c r="S239" s="84"/>
      <c r="W239" s="84"/>
      <c r="Y239" s="84"/>
      <c r="AB239" s="84"/>
      <c r="AC239" s="84"/>
      <c r="AH239" s="84"/>
      <c r="AI239" s="84"/>
      <c r="AJ239" s="84"/>
      <c r="AK239" s="84"/>
    </row>
    <row r="240" spans="9:37" ht="12.75" customHeight="1" x14ac:dyDescent="0.25">
      <c r="I240" s="84"/>
      <c r="J240" s="84"/>
      <c r="K240" s="84"/>
      <c r="N240" s="84"/>
      <c r="R240" s="84"/>
      <c r="S240" s="84"/>
      <c r="W240" s="84"/>
      <c r="Y240" s="84"/>
      <c r="AB240" s="84"/>
      <c r="AC240" s="84"/>
      <c r="AH240" s="84"/>
      <c r="AI240" s="84"/>
      <c r="AJ240" s="84"/>
      <c r="AK240" s="84"/>
    </row>
    <row r="241" spans="9:37" ht="12.75" customHeight="1" x14ac:dyDescent="0.25">
      <c r="I241" s="84"/>
      <c r="J241" s="84"/>
      <c r="K241" s="84"/>
      <c r="N241" s="84"/>
      <c r="R241" s="84"/>
      <c r="S241" s="84"/>
      <c r="W241" s="84"/>
      <c r="Y241" s="84"/>
      <c r="AB241" s="84"/>
      <c r="AC241" s="84"/>
      <c r="AH241" s="84"/>
      <c r="AI241" s="84"/>
      <c r="AJ241" s="84"/>
      <c r="AK241" s="84"/>
    </row>
    <row r="242" spans="9:37" ht="12.75" customHeight="1" x14ac:dyDescent="0.25">
      <c r="I242" s="84"/>
      <c r="J242" s="84"/>
      <c r="K242" s="84"/>
      <c r="N242" s="84"/>
      <c r="R242" s="84"/>
      <c r="S242" s="84"/>
      <c r="W242" s="84"/>
      <c r="Y242" s="84"/>
      <c r="AB242" s="84"/>
      <c r="AC242" s="84"/>
      <c r="AH242" s="84"/>
      <c r="AI242" s="84"/>
      <c r="AJ242" s="84"/>
      <c r="AK242" s="84"/>
    </row>
    <row r="243" spans="9:37" ht="12.75" customHeight="1" x14ac:dyDescent="0.25">
      <c r="I243" s="84"/>
      <c r="J243" s="84"/>
      <c r="K243" s="84"/>
      <c r="N243" s="84"/>
      <c r="R243" s="84"/>
      <c r="S243" s="84"/>
      <c r="W243" s="84"/>
      <c r="Y243" s="84"/>
      <c r="AB243" s="84"/>
      <c r="AC243" s="84"/>
      <c r="AH243" s="84"/>
      <c r="AI243" s="84"/>
      <c r="AJ243" s="84"/>
      <c r="AK243" s="84"/>
    </row>
    <row r="244" spans="9:37" ht="12.75" customHeight="1" x14ac:dyDescent="0.25">
      <c r="I244" s="84"/>
      <c r="J244" s="84"/>
      <c r="K244" s="84"/>
      <c r="N244" s="84"/>
      <c r="R244" s="84"/>
      <c r="S244" s="84"/>
      <c r="W244" s="84"/>
      <c r="Y244" s="84"/>
      <c r="AB244" s="84"/>
      <c r="AC244" s="84"/>
      <c r="AH244" s="84"/>
      <c r="AI244" s="84"/>
      <c r="AJ244" s="84"/>
      <c r="AK244" s="84"/>
    </row>
    <row r="245" spans="9:37" ht="12.75" customHeight="1" x14ac:dyDescent="0.25">
      <c r="I245" s="84"/>
      <c r="J245" s="84"/>
      <c r="K245" s="84"/>
      <c r="N245" s="84"/>
      <c r="R245" s="84"/>
      <c r="S245" s="84"/>
      <c r="W245" s="84"/>
      <c r="Y245" s="84"/>
      <c r="AB245" s="84"/>
      <c r="AC245" s="84"/>
      <c r="AH245" s="84"/>
      <c r="AI245" s="84"/>
      <c r="AJ245" s="84"/>
      <c r="AK245" s="84"/>
    </row>
    <row r="246" spans="9:37" ht="12.75" customHeight="1" x14ac:dyDescent="0.25">
      <c r="I246" s="84"/>
      <c r="J246" s="84"/>
      <c r="K246" s="84"/>
      <c r="N246" s="84"/>
      <c r="R246" s="84"/>
      <c r="S246" s="84"/>
      <c r="W246" s="84"/>
      <c r="Y246" s="84"/>
      <c r="AB246" s="84"/>
      <c r="AC246" s="84"/>
      <c r="AH246" s="84"/>
      <c r="AI246" s="84"/>
      <c r="AJ246" s="84"/>
      <c r="AK246" s="84"/>
    </row>
    <row r="247" spans="9:37" ht="12.75" customHeight="1" x14ac:dyDescent="0.25">
      <c r="I247" s="84"/>
      <c r="J247" s="84"/>
      <c r="K247" s="84"/>
      <c r="N247" s="84"/>
      <c r="R247" s="84"/>
      <c r="S247" s="84"/>
      <c r="W247" s="84"/>
      <c r="Y247" s="84"/>
      <c r="AB247" s="84"/>
      <c r="AC247" s="84"/>
      <c r="AH247" s="84"/>
      <c r="AI247" s="84"/>
      <c r="AJ247" s="84"/>
      <c r="AK247" s="84"/>
    </row>
    <row r="248" spans="9:37" ht="12.75" customHeight="1" x14ac:dyDescent="0.25">
      <c r="I248" s="84"/>
      <c r="J248" s="84"/>
      <c r="K248" s="84"/>
      <c r="N248" s="84"/>
      <c r="R248" s="84"/>
      <c r="S248" s="84"/>
      <c r="W248" s="84"/>
      <c r="Y248" s="84"/>
      <c r="AB248" s="84"/>
      <c r="AC248" s="84"/>
      <c r="AH248" s="84"/>
      <c r="AI248" s="84"/>
      <c r="AJ248" s="84"/>
      <c r="AK248" s="84"/>
    </row>
    <row r="249" spans="9:37" ht="12.75" customHeight="1" x14ac:dyDescent="0.25">
      <c r="I249" s="84"/>
      <c r="J249" s="84"/>
      <c r="K249" s="84"/>
      <c r="N249" s="84"/>
      <c r="R249" s="84"/>
      <c r="S249" s="84"/>
      <c r="W249" s="84"/>
      <c r="Y249" s="84"/>
      <c r="AB249" s="84"/>
      <c r="AC249" s="84"/>
      <c r="AH249" s="84"/>
      <c r="AI249" s="84"/>
      <c r="AJ249" s="84"/>
      <c r="AK249" s="84"/>
    </row>
    <row r="250" spans="9:37" ht="12.75" customHeight="1" x14ac:dyDescent="0.25">
      <c r="I250" s="84"/>
      <c r="J250" s="84"/>
      <c r="K250" s="84"/>
      <c r="N250" s="84"/>
      <c r="R250" s="84"/>
      <c r="S250" s="84"/>
      <c r="W250" s="84"/>
      <c r="Y250" s="84"/>
      <c r="AB250" s="84"/>
      <c r="AC250" s="84"/>
      <c r="AH250" s="84"/>
      <c r="AI250" s="84"/>
      <c r="AJ250" s="84"/>
      <c r="AK250" s="84"/>
    </row>
    <row r="251" spans="9:37" ht="12.75" customHeight="1" x14ac:dyDescent="0.25">
      <c r="I251" s="84"/>
      <c r="J251" s="84"/>
      <c r="K251" s="84"/>
      <c r="N251" s="84"/>
      <c r="R251" s="84"/>
      <c r="S251" s="84"/>
      <c r="W251" s="84"/>
      <c r="Y251" s="84"/>
      <c r="AB251" s="84"/>
      <c r="AC251" s="84"/>
      <c r="AH251" s="84"/>
      <c r="AI251" s="84"/>
      <c r="AJ251" s="84"/>
      <c r="AK251" s="84"/>
    </row>
    <row r="252" spans="9:37" ht="12.75" customHeight="1" x14ac:dyDescent="0.25">
      <c r="I252" s="84"/>
      <c r="J252" s="84"/>
      <c r="K252" s="84"/>
      <c r="N252" s="84"/>
      <c r="R252" s="84"/>
      <c r="S252" s="84"/>
      <c r="W252" s="84"/>
      <c r="Y252" s="84"/>
      <c r="AB252" s="84"/>
      <c r="AC252" s="84"/>
      <c r="AH252" s="84"/>
      <c r="AI252" s="84"/>
      <c r="AJ252" s="84"/>
      <c r="AK252" s="84"/>
    </row>
    <row r="253" spans="9:37" ht="12.75" customHeight="1" x14ac:dyDescent="0.25">
      <c r="I253" s="84"/>
      <c r="J253" s="84"/>
      <c r="K253" s="84"/>
      <c r="N253" s="84"/>
      <c r="R253" s="84"/>
      <c r="S253" s="84"/>
      <c r="W253" s="84"/>
      <c r="Y253" s="84"/>
      <c r="AB253" s="84"/>
      <c r="AC253" s="84"/>
      <c r="AH253" s="84"/>
      <c r="AI253" s="84"/>
      <c r="AJ253" s="84"/>
      <c r="AK253" s="84"/>
    </row>
    <row r="254" spans="9:37" ht="12.75" customHeight="1" x14ac:dyDescent="0.25">
      <c r="I254" s="84"/>
      <c r="J254" s="84"/>
      <c r="K254" s="84"/>
      <c r="N254" s="84"/>
      <c r="R254" s="84"/>
      <c r="S254" s="84"/>
      <c r="W254" s="84"/>
      <c r="Y254" s="84"/>
      <c r="AB254" s="84"/>
      <c r="AC254" s="84"/>
      <c r="AH254" s="84"/>
      <c r="AI254" s="84"/>
      <c r="AJ254" s="84"/>
      <c r="AK254" s="84"/>
    </row>
    <row r="255" spans="9:37" ht="12.75" customHeight="1" x14ac:dyDescent="0.25">
      <c r="I255" s="84"/>
      <c r="J255" s="84"/>
      <c r="K255" s="84"/>
      <c r="N255" s="84"/>
      <c r="R255" s="84"/>
      <c r="S255" s="84"/>
      <c r="W255" s="84"/>
      <c r="Y255" s="84"/>
      <c r="AB255" s="84"/>
      <c r="AC255" s="84"/>
      <c r="AH255" s="84"/>
      <c r="AI255" s="84"/>
      <c r="AJ255" s="84"/>
      <c r="AK255" s="84"/>
    </row>
    <row r="256" spans="9:37" ht="12.75" customHeight="1" x14ac:dyDescent="0.25">
      <c r="I256" s="84"/>
      <c r="J256" s="84"/>
      <c r="K256" s="84"/>
      <c r="N256" s="84"/>
      <c r="R256" s="84"/>
      <c r="S256" s="84"/>
      <c r="W256" s="84"/>
      <c r="Y256" s="84"/>
      <c r="AB256" s="84"/>
      <c r="AC256" s="84"/>
      <c r="AH256" s="84"/>
      <c r="AI256" s="84"/>
      <c r="AJ256" s="84"/>
      <c r="AK256" s="84"/>
    </row>
    <row r="257" spans="9:37" ht="12.75" customHeight="1" x14ac:dyDescent="0.25">
      <c r="I257" s="84"/>
      <c r="J257" s="84"/>
      <c r="K257" s="84"/>
      <c r="N257" s="84"/>
      <c r="R257" s="84"/>
      <c r="S257" s="84"/>
      <c r="W257" s="84"/>
      <c r="Y257" s="84"/>
      <c r="AB257" s="84"/>
      <c r="AC257" s="84"/>
      <c r="AH257" s="84"/>
      <c r="AI257" s="84"/>
      <c r="AJ257" s="84"/>
      <c r="AK257" s="84"/>
    </row>
    <row r="258" spans="9:37" ht="12.75" customHeight="1" x14ac:dyDescent="0.25">
      <c r="I258" s="84"/>
      <c r="J258" s="84"/>
      <c r="K258" s="84"/>
      <c r="N258" s="84"/>
      <c r="R258" s="84"/>
      <c r="S258" s="84"/>
      <c r="W258" s="84"/>
      <c r="Y258" s="84"/>
      <c r="AB258" s="84"/>
      <c r="AC258" s="84"/>
      <c r="AH258" s="84"/>
      <c r="AI258" s="84"/>
      <c r="AJ258" s="84"/>
      <c r="AK258" s="84"/>
    </row>
    <row r="259" spans="9:37" ht="12.75" customHeight="1" x14ac:dyDescent="0.25">
      <c r="I259" s="84"/>
      <c r="J259" s="84"/>
      <c r="K259" s="84"/>
      <c r="N259" s="84"/>
      <c r="R259" s="84"/>
      <c r="S259" s="84"/>
      <c r="W259" s="84"/>
      <c r="Y259" s="84"/>
      <c r="AB259" s="84"/>
      <c r="AC259" s="84"/>
      <c r="AH259" s="84"/>
      <c r="AI259" s="84"/>
      <c r="AJ259" s="84"/>
      <c r="AK259" s="84"/>
    </row>
    <row r="260" spans="9:37" ht="12.75" customHeight="1" x14ac:dyDescent="0.25">
      <c r="I260" s="84"/>
      <c r="J260" s="84"/>
      <c r="K260" s="84"/>
      <c r="N260" s="84"/>
      <c r="R260" s="84"/>
      <c r="S260" s="84"/>
      <c r="W260" s="84"/>
      <c r="Y260" s="84"/>
      <c r="AB260" s="84"/>
      <c r="AC260" s="84"/>
      <c r="AH260" s="84"/>
      <c r="AI260" s="84"/>
      <c r="AJ260" s="84"/>
      <c r="AK260" s="84"/>
    </row>
    <row r="261" spans="9:37" ht="12.75" customHeight="1" x14ac:dyDescent="0.25">
      <c r="I261" s="84"/>
      <c r="J261" s="84"/>
      <c r="K261" s="84"/>
      <c r="N261" s="84"/>
      <c r="R261" s="84"/>
      <c r="S261" s="84"/>
      <c r="W261" s="84"/>
      <c r="Y261" s="84"/>
      <c r="AB261" s="84"/>
      <c r="AC261" s="84"/>
      <c r="AH261" s="84"/>
      <c r="AI261" s="84"/>
      <c r="AJ261" s="84"/>
      <c r="AK261" s="84"/>
    </row>
    <row r="262" spans="9:37" ht="12.75" customHeight="1" x14ac:dyDescent="0.25">
      <c r="I262" s="84"/>
      <c r="J262" s="84"/>
      <c r="K262" s="84"/>
      <c r="N262" s="84"/>
      <c r="R262" s="84"/>
      <c r="S262" s="84"/>
      <c r="W262" s="84"/>
      <c r="Y262" s="84"/>
      <c r="AB262" s="84"/>
      <c r="AC262" s="84"/>
      <c r="AH262" s="84"/>
      <c r="AI262" s="84"/>
      <c r="AJ262" s="84"/>
      <c r="AK262" s="84"/>
    </row>
    <row r="263" spans="9:37" ht="12.75" customHeight="1" x14ac:dyDescent="0.25">
      <c r="I263" s="84"/>
      <c r="J263" s="84"/>
      <c r="K263" s="84"/>
      <c r="N263" s="84"/>
      <c r="R263" s="84"/>
      <c r="S263" s="84"/>
      <c r="W263" s="84"/>
      <c r="Y263" s="84"/>
      <c r="AB263" s="84"/>
      <c r="AC263" s="84"/>
      <c r="AH263" s="84"/>
      <c r="AI263" s="84"/>
      <c r="AJ263" s="84"/>
      <c r="AK263" s="84"/>
    </row>
    <row r="264" spans="9:37" ht="12.75" customHeight="1" x14ac:dyDescent="0.25">
      <c r="I264" s="84"/>
      <c r="J264" s="84"/>
      <c r="K264" s="84"/>
      <c r="N264" s="84"/>
      <c r="R264" s="84"/>
      <c r="S264" s="84"/>
      <c r="W264" s="84"/>
      <c r="Y264" s="84"/>
      <c r="AB264" s="84"/>
      <c r="AC264" s="84"/>
      <c r="AH264" s="84"/>
      <c r="AI264" s="84"/>
      <c r="AJ264" s="84"/>
      <c r="AK264" s="84"/>
    </row>
    <row r="265" spans="9:37" ht="12.75" customHeight="1" x14ac:dyDescent="0.25">
      <c r="I265" s="84"/>
      <c r="J265" s="84"/>
      <c r="K265" s="84"/>
      <c r="N265" s="84"/>
      <c r="R265" s="84"/>
      <c r="S265" s="84"/>
      <c r="W265" s="84"/>
      <c r="Y265" s="84"/>
      <c r="AB265" s="84"/>
      <c r="AC265" s="84"/>
      <c r="AH265" s="84"/>
      <c r="AI265" s="84"/>
      <c r="AJ265" s="84"/>
      <c r="AK265" s="84"/>
    </row>
    <row r="266" spans="9:37" ht="12.75" customHeight="1" x14ac:dyDescent="0.25">
      <c r="I266" s="84"/>
      <c r="J266" s="84"/>
      <c r="K266" s="84"/>
      <c r="N266" s="84"/>
      <c r="R266" s="84"/>
      <c r="S266" s="84"/>
      <c r="W266" s="84"/>
      <c r="Y266" s="84"/>
      <c r="AB266" s="84"/>
      <c r="AC266" s="84"/>
      <c r="AH266" s="84"/>
      <c r="AI266" s="84"/>
      <c r="AJ266" s="84"/>
      <c r="AK266" s="84"/>
    </row>
    <row r="267" spans="9:37" ht="12.75" customHeight="1" x14ac:dyDescent="0.25">
      <c r="I267" s="84"/>
      <c r="J267" s="84"/>
      <c r="K267" s="84"/>
      <c r="N267" s="84"/>
      <c r="R267" s="84"/>
      <c r="S267" s="84"/>
      <c r="W267" s="84"/>
      <c r="Y267" s="84"/>
      <c r="AB267" s="84"/>
      <c r="AC267" s="84"/>
      <c r="AH267" s="84"/>
      <c r="AI267" s="84"/>
      <c r="AJ267" s="84"/>
      <c r="AK267" s="84"/>
    </row>
    <row r="268" spans="9:37" ht="12.75" customHeight="1" x14ac:dyDescent="0.25">
      <c r="I268" s="84"/>
      <c r="J268" s="84"/>
      <c r="K268" s="84"/>
      <c r="N268" s="84"/>
      <c r="R268" s="84"/>
      <c r="S268" s="84"/>
      <c r="W268" s="84"/>
      <c r="Y268" s="84"/>
      <c r="AB268" s="84"/>
      <c r="AC268" s="84"/>
      <c r="AH268" s="84"/>
      <c r="AI268" s="84"/>
      <c r="AJ268" s="84"/>
      <c r="AK268" s="84"/>
    </row>
    <row r="269" spans="9:37" ht="12.75" customHeight="1" x14ac:dyDescent="0.25">
      <c r="I269" s="84"/>
      <c r="J269" s="84"/>
      <c r="K269" s="84"/>
      <c r="N269" s="84"/>
      <c r="R269" s="84"/>
      <c r="S269" s="84"/>
      <c r="W269" s="84"/>
      <c r="Y269" s="84"/>
      <c r="AB269" s="84"/>
      <c r="AC269" s="84"/>
      <c r="AH269" s="84"/>
      <c r="AI269" s="84"/>
      <c r="AJ269" s="84"/>
      <c r="AK269" s="84"/>
    </row>
    <row r="270" spans="9:37" ht="12.75" customHeight="1" x14ac:dyDescent="0.25">
      <c r="I270" s="84"/>
      <c r="J270" s="84"/>
      <c r="K270" s="84"/>
      <c r="N270" s="84"/>
      <c r="R270" s="84"/>
      <c r="S270" s="84"/>
      <c r="W270" s="84"/>
      <c r="Y270" s="84"/>
      <c r="AB270" s="84"/>
      <c r="AC270" s="84"/>
      <c r="AH270" s="84"/>
      <c r="AI270" s="84"/>
      <c r="AJ270" s="84"/>
      <c r="AK270" s="84"/>
    </row>
    <row r="271" spans="9:37" ht="12.75" customHeight="1" x14ac:dyDescent="0.25">
      <c r="I271" s="84"/>
      <c r="J271" s="84"/>
      <c r="K271" s="84"/>
      <c r="N271" s="84"/>
      <c r="R271" s="84"/>
      <c r="S271" s="84"/>
      <c r="W271" s="84"/>
      <c r="Y271" s="84"/>
      <c r="AB271" s="84"/>
      <c r="AC271" s="84"/>
      <c r="AH271" s="84"/>
      <c r="AI271" s="84"/>
      <c r="AJ271" s="84"/>
      <c r="AK271" s="84"/>
    </row>
    <row r="272" spans="9:37" ht="12.75" customHeight="1" x14ac:dyDescent="0.25">
      <c r="I272" s="84"/>
      <c r="J272" s="84"/>
      <c r="K272" s="84"/>
      <c r="N272" s="84"/>
      <c r="R272" s="84"/>
      <c r="S272" s="84"/>
      <c r="W272" s="84"/>
      <c r="Y272" s="84"/>
      <c r="AB272" s="84"/>
      <c r="AC272" s="84"/>
      <c r="AH272" s="84"/>
      <c r="AI272" s="84"/>
      <c r="AJ272" s="84"/>
      <c r="AK272" s="84"/>
    </row>
    <row r="273" spans="9:37" ht="12.75" customHeight="1" x14ac:dyDescent="0.25">
      <c r="I273" s="84"/>
      <c r="J273" s="84"/>
      <c r="K273" s="84"/>
      <c r="N273" s="84"/>
      <c r="R273" s="84"/>
      <c r="S273" s="84"/>
      <c r="W273" s="84"/>
      <c r="Y273" s="84"/>
      <c r="AB273" s="84"/>
      <c r="AC273" s="84"/>
      <c r="AH273" s="84"/>
      <c r="AI273" s="84"/>
      <c r="AJ273" s="84"/>
      <c r="AK273" s="84"/>
    </row>
    <row r="274" spans="9:37" ht="12.75" customHeight="1" x14ac:dyDescent="0.25">
      <c r="I274" s="84"/>
      <c r="J274" s="84"/>
      <c r="K274" s="84"/>
      <c r="N274" s="84"/>
      <c r="R274" s="84"/>
      <c r="S274" s="84"/>
      <c r="W274" s="84"/>
      <c r="Y274" s="84"/>
      <c r="AB274" s="84"/>
      <c r="AC274" s="84"/>
      <c r="AH274" s="84"/>
      <c r="AI274" s="84"/>
      <c r="AJ274" s="84"/>
      <c r="AK274" s="84"/>
    </row>
    <row r="275" spans="9:37" ht="12.75" customHeight="1" x14ac:dyDescent="0.25">
      <c r="I275" s="84"/>
      <c r="J275" s="84"/>
      <c r="K275" s="84"/>
      <c r="N275" s="84"/>
      <c r="R275" s="84"/>
      <c r="S275" s="84"/>
      <c r="W275" s="84"/>
      <c r="Y275" s="84"/>
      <c r="AB275" s="84"/>
      <c r="AC275" s="84"/>
      <c r="AH275" s="84"/>
      <c r="AI275" s="84"/>
      <c r="AJ275" s="84"/>
      <c r="AK275" s="84"/>
    </row>
    <row r="276" spans="9:37" ht="12.75" customHeight="1" x14ac:dyDescent="0.25">
      <c r="I276" s="84"/>
      <c r="J276" s="84"/>
      <c r="K276" s="84"/>
      <c r="N276" s="84"/>
      <c r="R276" s="84"/>
      <c r="S276" s="84"/>
      <c r="W276" s="84"/>
      <c r="Y276" s="84"/>
      <c r="AB276" s="84"/>
      <c r="AC276" s="84"/>
      <c r="AH276" s="84"/>
      <c r="AI276" s="84"/>
      <c r="AJ276" s="84"/>
      <c r="AK276" s="84"/>
    </row>
    <row r="277" spans="9:37" ht="12.75" customHeight="1" x14ac:dyDescent="0.25">
      <c r="I277" s="84"/>
      <c r="J277" s="84"/>
      <c r="K277" s="84"/>
      <c r="N277" s="84"/>
      <c r="R277" s="84"/>
      <c r="S277" s="84"/>
      <c r="W277" s="84"/>
      <c r="Y277" s="84"/>
      <c r="AB277" s="84"/>
      <c r="AC277" s="84"/>
      <c r="AH277" s="84"/>
      <c r="AI277" s="84"/>
      <c r="AJ277" s="84"/>
      <c r="AK277" s="84"/>
    </row>
    <row r="278" spans="9:37" ht="12.75" customHeight="1" x14ac:dyDescent="0.25">
      <c r="I278" s="84"/>
      <c r="J278" s="84"/>
      <c r="K278" s="84"/>
      <c r="N278" s="84"/>
      <c r="R278" s="84"/>
      <c r="S278" s="84"/>
      <c r="W278" s="84"/>
      <c r="Y278" s="84"/>
      <c r="AB278" s="84"/>
      <c r="AC278" s="84"/>
      <c r="AH278" s="84"/>
      <c r="AI278" s="84"/>
      <c r="AJ278" s="84"/>
      <c r="AK278" s="84"/>
    </row>
    <row r="279" spans="9:37" ht="12.75" customHeight="1" x14ac:dyDescent="0.25">
      <c r="I279" s="84"/>
      <c r="J279" s="84"/>
      <c r="K279" s="84"/>
      <c r="N279" s="84"/>
      <c r="R279" s="84"/>
      <c r="S279" s="84"/>
      <c r="W279" s="84"/>
      <c r="Y279" s="84"/>
      <c r="AB279" s="84"/>
      <c r="AC279" s="84"/>
      <c r="AH279" s="84"/>
      <c r="AI279" s="84"/>
      <c r="AJ279" s="84"/>
      <c r="AK279" s="84"/>
    </row>
    <row r="280" spans="9:37" ht="12.75" customHeight="1" x14ac:dyDescent="0.25">
      <c r="I280" s="84"/>
      <c r="J280" s="84"/>
      <c r="K280" s="84"/>
      <c r="N280" s="84"/>
      <c r="R280" s="84"/>
      <c r="S280" s="84"/>
      <c r="W280" s="84"/>
      <c r="Y280" s="84"/>
      <c r="AB280" s="84"/>
      <c r="AC280" s="84"/>
      <c r="AH280" s="84"/>
      <c r="AI280" s="84"/>
      <c r="AJ280" s="84"/>
      <c r="AK280" s="84"/>
    </row>
    <row r="281" spans="9:37" ht="12.75" customHeight="1" x14ac:dyDescent="0.25">
      <c r="I281" s="84"/>
      <c r="J281" s="84"/>
      <c r="K281" s="84"/>
      <c r="N281" s="84"/>
      <c r="R281" s="84"/>
      <c r="S281" s="84"/>
      <c r="W281" s="84"/>
      <c r="Y281" s="84"/>
      <c r="AB281" s="84"/>
      <c r="AC281" s="84"/>
      <c r="AH281" s="84"/>
      <c r="AI281" s="84"/>
      <c r="AJ281" s="84"/>
      <c r="AK281" s="84"/>
    </row>
    <row r="282" spans="9:37" ht="12.75" customHeight="1" x14ac:dyDescent="0.25">
      <c r="I282" s="84"/>
      <c r="J282" s="84"/>
      <c r="K282" s="84"/>
      <c r="N282" s="84"/>
      <c r="R282" s="84"/>
      <c r="S282" s="84"/>
      <c r="W282" s="84"/>
      <c r="Y282" s="84"/>
      <c r="AB282" s="84"/>
      <c r="AC282" s="84"/>
      <c r="AH282" s="84"/>
      <c r="AI282" s="84"/>
      <c r="AJ282" s="84"/>
      <c r="AK282" s="84"/>
    </row>
    <row r="283" spans="9:37" ht="12.75" customHeight="1" x14ac:dyDescent="0.25">
      <c r="I283" s="84"/>
      <c r="J283" s="84"/>
      <c r="K283" s="84"/>
      <c r="N283" s="84"/>
      <c r="R283" s="84"/>
      <c r="S283" s="84"/>
      <c r="W283" s="84"/>
      <c r="Y283" s="84"/>
      <c r="AB283" s="84"/>
      <c r="AC283" s="84"/>
      <c r="AH283" s="84"/>
      <c r="AI283" s="84"/>
      <c r="AJ283" s="84"/>
      <c r="AK283" s="84"/>
    </row>
    <row r="284" spans="9:37" ht="12.75" customHeight="1" x14ac:dyDescent="0.25">
      <c r="I284" s="84"/>
      <c r="J284" s="84"/>
      <c r="K284" s="84"/>
      <c r="N284" s="84"/>
      <c r="R284" s="84"/>
      <c r="S284" s="84"/>
      <c r="W284" s="84"/>
      <c r="Y284" s="84"/>
      <c r="AB284" s="84"/>
      <c r="AC284" s="84"/>
      <c r="AH284" s="84"/>
      <c r="AI284" s="84"/>
      <c r="AJ284" s="84"/>
      <c r="AK284" s="84"/>
    </row>
    <row r="285" spans="9:37" ht="12.75" customHeight="1" x14ac:dyDescent="0.25">
      <c r="I285" s="84"/>
      <c r="J285" s="84"/>
      <c r="K285" s="84"/>
      <c r="N285" s="84"/>
      <c r="R285" s="84"/>
      <c r="S285" s="84"/>
      <c r="W285" s="84"/>
      <c r="Y285" s="84"/>
      <c r="AB285" s="84"/>
      <c r="AC285" s="84"/>
      <c r="AH285" s="84"/>
      <c r="AI285" s="84"/>
      <c r="AJ285" s="84"/>
      <c r="AK285" s="84"/>
    </row>
    <row r="286" spans="9:37" ht="12.75" customHeight="1" x14ac:dyDescent="0.25">
      <c r="I286" s="84"/>
      <c r="J286" s="84"/>
      <c r="K286" s="84"/>
      <c r="N286" s="84"/>
      <c r="R286" s="84"/>
      <c r="S286" s="84"/>
      <c r="W286" s="84"/>
      <c r="Y286" s="84"/>
      <c r="AB286" s="84"/>
      <c r="AC286" s="84"/>
      <c r="AH286" s="84"/>
      <c r="AI286" s="84"/>
      <c r="AJ286" s="84"/>
      <c r="AK286" s="84"/>
    </row>
    <row r="287" spans="9:37" ht="12.75" customHeight="1" x14ac:dyDescent="0.25">
      <c r="I287" s="84"/>
      <c r="J287" s="84"/>
      <c r="K287" s="84"/>
      <c r="N287" s="84"/>
      <c r="R287" s="84"/>
      <c r="S287" s="84"/>
      <c r="W287" s="84"/>
      <c r="Y287" s="84"/>
      <c r="AB287" s="84"/>
      <c r="AC287" s="84"/>
      <c r="AH287" s="84"/>
      <c r="AI287" s="84"/>
      <c r="AJ287" s="84"/>
      <c r="AK287" s="84"/>
    </row>
    <row r="288" spans="9:37" ht="12.75" customHeight="1" x14ac:dyDescent="0.25">
      <c r="I288" s="84"/>
      <c r="J288" s="84"/>
      <c r="K288" s="84"/>
      <c r="N288" s="84"/>
      <c r="R288" s="84"/>
      <c r="S288" s="84"/>
      <c r="W288" s="84"/>
      <c r="Y288" s="84"/>
      <c r="AB288" s="84"/>
      <c r="AC288" s="84"/>
      <c r="AH288" s="84"/>
      <c r="AI288" s="84"/>
      <c r="AJ288" s="84"/>
      <c r="AK288" s="84"/>
    </row>
    <row r="289" spans="9:37" ht="12.75" customHeight="1" x14ac:dyDescent="0.25">
      <c r="I289" s="84"/>
      <c r="J289" s="84"/>
      <c r="K289" s="84"/>
      <c r="N289" s="84"/>
      <c r="R289" s="84"/>
      <c r="S289" s="84"/>
      <c r="W289" s="84"/>
      <c r="Y289" s="84"/>
      <c r="AB289" s="84"/>
      <c r="AC289" s="84"/>
      <c r="AH289" s="84"/>
      <c r="AI289" s="84"/>
      <c r="AJ289" s="84"/>
      <c r="AK289" s="84"/>
    </row>
    <row r="290" spans="9:37" ht="12.75" customHeight="1" x14ac:dyDescent="0.25">
      <c r="I290" s="84"/>
      <c r="J290" s="84"/>
      <c r="K290" s="84"/>
      <c r="N290" s="84"/>
      <c r="R290" s="84"/>
      <c r="S290" s="84"/>
      <c r="W290" s="84"/>
      <c r="Y290" s="84"/>
      <c r="AB290" s="84"/>
      <c r="AC290" s="84"/>
      <c r="AH290" s="84"/>
      <c r="AI290" s="84"/>
      <c r="AJ290" s="84"/>
      <c r="AK290" s="84"/>
    </row>
    <row r="291" spans="9:37" ht="12.75" customHeight="1" x14ac:dyDescent="0.25">
      <c r="I291" s="84"/>
      <c r="J291" s="84"/>
      <c r="K291" s="84"/>
      <c r="N291" s="84"/>
      <c r="R291" s="84"/>
      <c r="S291" s="84"/>
      <c r="W291" s="84"/>
      <c r="Y291" s="84"/>
      <c r="AB291" s="84"/>
      <c r="AC291" s="84"/>
      <c r="AH291" s="84"/>
      <c r="AI291" s="84"/>
      <c r="AJ291" s="84"/>
      <c r="AK291" s="84"/>
    </row>
    <row r="292" spans="9:37" ht="12.75" customHeight="1" x14ac:dyDescent="0.25">
      <c r="I292" s="84"/>
      <c r="J292" s="84"/>
      <c r="K292" s="84"/>
      <c r="N292" s="84"/>
      <c r="R292" s="84"/>
      <c r="S292" s="84"/>
      <c r="W292" s="84"/>
      <c r="Y292" s="84"/>
      <c r="AB292" s="84"/>
      <c r="AC292" s="84"/>
      <c r="AH292" s="84"/>
      <c r="AI292" s="84"/>
      <c r="AJ292" s="84"/>
      <c r="AK292" s="84"/>
    </row>
    <row r="293" spans="9:37" ht="12.75" customHeight="1" x14ac:dyDescent="0.25">
      <c r="I293" s="84"/>
      <c r="J293" s="84"/>
      <c r="K293" s="84"/>
      <c r="N293" s="84"/>
      <c r="R293" s="84"/>
      <c r="S293" s="84"/>
      <c r="W293" s="84"/>
      <c r="Y293" s="84"/>
      <c r="AB293" s="84"/>
      <c r="AC293" s="84"/>
      <c r="AH293" s="84"/>
      <c r="AI293" s="84"/>
      <c r="AJ293" s="84"/>
      <c r="AK293" s="84"/>
    </row>
    <row r="294" spans="9:37" ht="12.75" customHeight="1" x14ac:dyDescent="0.25">
      <c r="I294" s="84"/>
      <c r="J294" s="84"/>
      <c r="K294" s="84"/>
      <c r="N294" s="84"/>
      <c r="R294" s="84"/>
      <c r="S294" s="84"/>
      <c r="W294" s="84"/>
      <c r="Y294" s="84"/>
      <c r="AB294" s="84"/>
      <c r="AC294" s="84"/>
      <c r="AH294" s="84"/>
      <c r="AI294" s="84"/>
      <c r="AJ294" s="84"/>
      <c r="AK294" s="84"/>
    </row>
    <row r="295" spans="9:37" ht="12.75" customHeight="1" x14ac:dyDescent="0.25">
      <c r="I295" s="84"/>
      <c r="J295" s="84"/>
      <c r="K295" s="84"/>
      <c r="N295" s="84"/>
      <c r="R295" s="84"/>
      <c r="S295" s="84"/>
      <c r="W295" s="84"/>
      <c r="Y295" s="84"/>
      <c r="AB295" s="84"/>
      <c r="AC295" s="84"/>
      <c r="AH295" s="84"/>
      <c r="AI295" s="84"/>
      <c r="AJ295" s="84"/>
      <c r="AK295" s="84"/>
    </row>
    <row r="296" spans="9:37" ht="12.75" customHeight="1" x14ac:dyDescent="0.25">
      <c r="I296" s="84"/>
      <c r="J296" s="84"/>
      <c r="K296" s="84"/>
      <c r="N296" s="84"/>
      <c r="R296" s="84"/>
      <c r="S296" s="84"/>
      <c r="W296" s="84"/>
      <c r="Y296" s="84"/>
      <c r="AB296" s="84"/>
      <c r="AC296" s="84"/>
      <c r="AH296" s="84"/>
      <c r="AI296" s="84"/>
      <c r="AJ296" s="84"/>
      <c r="AK296" s="84"/>
    </row>
    <row r="297" spans="9:37" ht="12.75" customHeight="1" x14ac:dyDescent="0.25">
      <c r="I297" s="84"/>
      <c r="J297" s="84"/>
      <c r="K297" s="84"/>
      <c r="N297" s="84"/>
      <c r="R297" s="84"/>
      <c r="S297" s="84"/>
      <c r="W297" s="84"/>
      <c r="Y297" s="84"/>
      <c r="AB297" s="84"/>
      <c r="AC297" s="84"/>
      <c r="AH297" s="84"/>
      <c r="AI297" s="84"/>
      <c r="AJ297" s="84"/>
      <c r="AK297" s="84"/>
    </row>
    <row r="298" spans="9:37" ht="12.75" customHeight="1" x14ac:dyDescent="0.25">
      <c r="I298" s="84"/>
      <c r="J298" s="84"/>
      <c r="K298" s="84"/>
      <c r="N298" s="84"/>
      <c r="R298" s="84"/>
      <c r="S298" s="84"/>
      <c r="W298" s="84"/>
      <c r="Y298" s="84"/>
      <c r="AB298" s="84"/>
      <c r="AC298" s="84"/>
      <c r="AH298" s="84"/>
      <c r="AI298" s="84"/>
      <c r="AJ298" s="84"/>
      <c r="AK298" s="84"/>
    </row>
    <row r="299" spans="9:37" ht="12.75" customHeight="1" x14ac:dyDescent="0.25">
      <c r="I299" s="84"/>
      <c r="J299" s="84"/>
      <c r="K299" s="84"/>
      <c r="N299" s="84"/>
      <c r="R299" s="84"/>
      <c r="S299" s="84"/>
      <c r="W299" s="84"/>
      <c r="Y299" s="84"/>
      <c r="AB299" s="84"/>
      <c r="AC299" s="84"/>
      <c r="AH299" s="84"/>
      <c r="AI299" s="84"/>
      <c r="AJ299" s="84"/>
      <c r="AK299" s="84"/>
    </row>
    <row r="300" spans="9:37" ht="12.75" customHeight="1" x14ac:dyDescent="0.25">
      <c r="I300" s="84"/>
      <c r="J300" s="84"/>
      <c r="K300" s="84"/>
      <c r="N300" s="84"/>
      <c r="R300" s="84"/>
      <c r="S300" s="84"/>
      <c r="W300" s="84"/>
      <c r="Y300" s="84"/>
      <c r="AB300" s="84"/>
      <c r="AC300" s="84"/>
      <c r="AH300" s="84"/>
      <c r="AI300" s="84"/>
      <c r="AJ300" s="84"/>
      <c r="AK300" s="84"/>
    </row>
    <row r="301" spans="9:37" ht="12.75" customHeight="1" x14ac:dyDescent="0.25">
      <c r="I301" s="84"/>
      <c r="J301" s="84"/>
      <c r="K301" s="84"/>
      <c r="N301" s="84"/>
      <c r="R301" s="84"/>
      <c r="S301" s="84"/>
      <c r="W301" s="84"/>
      <c r="Y301" s="84"/>
      <c r="AB301" s="84"/>
      <c r="AC301" s="84"/>
      <c r="AH301" s="84"/>
      <c r="AI301" s="84"/>
      <c r="AJ301" s="84"/>
      <c r="AK301" s="84"/>
    </row>
    <row r="302" spans="9:37" ht="12.75" customHeight="1" x14ac:dyDescent="0.25">
      <c r="I302" s="84"/>
      <c r="J302" s="84"/>
      <c r="K302" s="84"/>
      <c r="N302" s="84"/>
      <c r="R302" s="84"/>
      <c r="S302" s="84"/>
      <c r="W302" s="84"/>
      <c r="Y302" s="84"/>
      <c r="AB302" s="84"/>
      <c r="AC302" s="84"/>
      <c r="AH302" s="84"/>
      <c r="AI302" s="84"/>
      <c r="AJ302" s="84"/>
      <c r="AK302" s="84"/>
    </row>
    <row r="303" spans="9:37" ht="12.75" customHeight="1" x14ac:dyDescent="0.25">
      <c r="I303" s="84"/>
      <c r="J303" s="84"/>
      <c r="K303" s="84"/>
      <c r="N303" s="84"/>
      <c r="R303" s="84"/>
      <c r="S303" s="84"/>
      <c r="W303" s="84"/>
      <c r="Y303" s="84"/>
      <c r="AB303" s="84"/>
      <c r="AC303" s="84"/>
      <c r="AH303" s="84"/>
      <c r="AI303" s="84"/>
      <c r="AJ303" s="84"/>
      <c r="AK303" s="84"/>
    </row>
    <row r="304" spans="9:37" ht="12.75" customHeight="1" x14ac:dyDescent="0.25">
      <c r="I304" s="84"/>
      <c r="J304" s="84"/>
      <c r="K304" s="84"/>
      <c r="N304" s="84"/>
      <c r="R304" s="84"/>
      <c r="S304" s="84"/>
      <c r="W304" s="84"/>
      <c r="Y304" s="84"/>
      <c r="AB304" s="84"/>
      <c r="AC304" s="84"/>
      <c r="AH304" s="84"/>
      <c r="AI304" s="84"/>
      <c r="AJ304" s="84"/>
      <c r="AK304" s="84"/>
    </row>
    <row r="305" spans="9:37" ht="12.75" customHeight="1" x14ac:dyDescent="0.25">
      <c r="I305" s="84"/>
      <c r="J305" s="84"/>
      <c r="K305" s="84"/>
      <c r="N305" s="84"/>
      <c r="R305" s="84"/>
      <c r="S305" s="84"/>
      <c r="W305" s="84"/>
      <c r="Y305" s="84"/>
      <c r="AB305" s="84"/>
      <c r="AC305" s="84"/>
      <c r="AH305" s="84"/>
      <c r="AI305" s="84"/>
      <c r="AJ305" s="84"/>
      <c r="AK305" s="84"/>
    </row>
    <row r="306" spans="9:37" ht="12.75" customHeight="1" x14ac:dyDescent="0.25">
      <c r="I306" s="84"/>
      <c r="J306" s="84"/>
      <c r="K306" s="84"/>
      <c r="N306" s="84"/>
      <c r="R306" s="84"/>
      <c r="S306" s="84"/>
      <c r="W306" s="84"/>
      <c r="Y306" s="84"/>
      <c r="AB306" s="84"/>
      <c r="AC306" s="84"/>
      <c r="AH306" s="84"/>
      <c r="AI306" s="84"/>
      <c r="AJ306" s="84"/>
      <c r="AK306" s="84"/>
    </row>
    <row r="307" spans="9:37" ht="12.75" customHeight="1" x14ac:dyDescent="0.25">
      <c r="I307" s="84"/>
      <c r="J307" s="84"/>
      <c r="K307" s="84"/>
      <c r="N307" s="84"/>
      <c r="R307" s="84"/>
      <c r="S307" s="84"/>
      <c r="W307" s="84"/>
      <c r="Y307" s="84"/>
      <c r="AB307" s="84"/>
      <c r="AC307" s="84"/>
      <c r="AH307" s="84"/>
      <c r="AI307" s="84"/>
      <c r="AJ307" s="84"/>
      <c r="AK307" s="84"/>
    </row>
    <row r="308" spans="9:37" ht="12.75" customHeight="1" x14ac:dyDescent="0.25">
      <c r="I308" s="84"/>
      <c r="J308" s="84"/>
      <c r="K308" s="84"/>
      <c r="N308" s="84"/>
      <c r="R308" s="84"/>
      <c r="S308" s="84"/>
      <c r="W308" s="84"/>
      <c r="Y308" s="84"/>
      <c r="AB308" s="84"/>
      <c r="AC308" s="84"/>
      <c r="AH308" s="84"/>
      <c r="AI308" s="84"/>
      <c r="AJ308" s="84"/>
      <c r="AK308" s="84"/>
    </row>
    <row r="309" spans="9:37" ht="12.75" customHeight="1" x14ac:dyDescent="0.25">
      <c r="I309" s="84"/>
      <c r="J309" s="84"/>
      <c r="K309" s="84"/>
      <c r="N309" s="84"/>
      <c r="R309" s="84"/>
      <c r="S309" s="84"/>
      <c r="W309" s="84"/>
      <c r="Y309" s="84"/>
      <c r="AB309" s="84"/>
      <c r="AC309" s="84"/>
      <c r="AH309" s="84"/>
      <c r="AI309" s="84"/>
      <c r="AJ309" s="84"/>
      <c r="AK309" s="84"/>
    </row>
    <row r="310" spans="9:37" ht="12.75" customHeight="1" x14ac:dyDescent="0.25">
      <c r="I310" s="84"/>
      <c r="J310" s="84"/>
      <c r="K310" s="84"/>
      <c r="N310" s="84"/>
      <c r="R310" s="84"/>
      <c r="S310" s="84"/>
      <c r="W310" s="84"/>
      <c r="Y310" s="84"/>
      <c r="AB310" s="84"/>
      <c r="AC310" s="84"/>
      <c r="AH310" s="84"/>
      <c r="AI310" s="84"/>
      <c r="AJ310" s="84"/>
      <c r="AK310" s="84"/>
    </row>
    <row r="311" spans="9:37" ht="12.75" customHeight="1" x14ac:dyDescent="0.25">
      <c r="I311" s="84"/>
      <c r="J311" s="84"/>
      <c r="K311" s="84"/>
      <c r="N311" s="84"/>
      <c r="R311" s="84"/>
      <c r="S311" s="84"/>
      <c r="W311" s="84"/>
      <c r="Y311" s="84"/>
      <c r="AB311" s="84"/>
      <c r="AC311" s="84"/>
      <c r="AH311" s="84"/>
      <c r="AI311" s="84"/>
      <c r="AJ311" s="84"/>
      <c r="AK311" s="84"/>
    </row>
    <row r="312" spans="9:37" ht="12.75" customHeight="1" x14ac:dyDescent="0.25">
      <c r="I312" s="84"/>
      <c r="J312" s="84"/>
      <c r="K312" s="84"/>
      <c r="N312" s="84"/>
      <c r="R312" s="84"/>
      <c r="S312" s="84"/>
      <c r="W312" s="84"/>
      <c r="Y312" s="84"/>
      <c r="AB312" s="84"/>
      <c r="AC312" s="84"/>
      <c r="AH312" s="84"/>
      <c r="AI312" s="84"/>
      <c r="AJ312" s="84"/>
      <c r="AK312" s="84"/>
    </row>
    <row r="313" spans="9:37" ht="12.75" customHeight="1" x14ac:dyDescent="0.25">
      <c r="I313" s="84"/>
      <c r="J313" s="84"/>
      <c r="K313" s="84"/>
      <c r="N313" s="84"/>
      <c r="R313" s="84"/>
      <c r="S313" s="84"/>
      <c r="W313" s="84"/>
      <c r="Y313" s="84"/>
      <c r="AB313" s="84"/>
      <c r="AC313" s="84"/>
      <c r="AH313" s="84"/>
      <c r="AI313" s="84"/>
      <c r="AJ313" s="84"/>
      <c r="AK313" s="84"/>
    </row>
    <row r="314" spans="9:37" ht="12.75" customHeight="1" x14ac:dyDescent="0.25">
      <c r="I314" s="84"/>
      <c r="J314" s="84"/>
      <c r="K314" s="84"/>
      <c r="N314" s="84"/>
      <c r="R314" s="84"/>
      <c r="S314" s="84"/>
      <c r="W314" s="84"/>
      <c r="Y314" s="84"/>
      <c r="AB314" s="84"/>
      <c r="AC314" s="84"/>
      <c r="AH314" s="84"/>
      <c r="AI314" s="84"/>
      <c r="AJ314" s="84"/>
      <c r="AK314" s="84"/>
    </row>
    <row r="315" spans="9:37" ht="12.75" customHeight="1" x14ac:dyDescent="0.25">
      <c r="I315" s="84"/>
      <c r="J315" s="84"/>
      <c r="K315" s="84"/>
      <c r="N315" s="84"/>
      <c r="R315" s="84"/>
      <c r="S315" s="84"/>
      <c r="W315" s="84"/>
      <c r="Y315" s="84"/>
      <c r="AB315" s="84"/>
      <c r="AC315" s="84"/>
      <c r="AH315" s="84"/>
      <c r="AI315" s="84"/>
      <c r="AJ315" s="84"/>
      <c r="AK315" s="84"/>
    </row>
    <row r="316" spans="9:37" ht="12.75" customHeight="1" x14ac:dyDescent="0.25">
      <c r="I316" s="84"/>
      <c r="J316" s="84"/>
      <c r="K316" s="84"/>
      <c r="N316" s="84"/>
      <c r="R316" s="84"/>
      <c r="S316" s="84"/>
      <c r="W316" s="84"/>
      <c r="Y316" s="84"/>
      <c r="AB316" s="84"/>
      <c r="AC316" s="84"/>
      <c r="AH316" s="84"/>
      <c r="AI316" s="84"/>
      <c r="AJ316" s="84"/>
      <c r="AK316" s="84"/>
    </row>
    <row r="317" spans="9:37" ht="12.75" customHeight="1" x14ac:dyDescent="0.25">
      <c r="I317" s="84"/>
      <c r="J317" s="84"/>
      <c r="K317" s="84"/>
      <c r="N317" s="84"/>
      <c r="R317" s="84"/>
      <c r="S317" s="84"/>
      <c r="W317" s="84"/>
      <c r="Y317" s="84"/>
      <c r="AB317" s="84"/>
      <c r="AC317" s="84"/>
      <c r="AH317" s="84"/>
      <c r="AI317" s="84"/>
      <c r="AJ317" s="84"/>
      <c r="AK317" s="84"/>
    </row>
    <row r="318" spans="9:37" ht="12.75" customHeight="1" x14ac:dyDescent="0.25">
      <c r="I318" s="84"/>
      <c r="J318" s="84"/>
      <c r="K318" s="84"/>
      <c r="N318" s="84"/>
      <c r="R318" s="84"/>
      <c r="S318" s="84"/>
      <c r="W318" s="84"/>
      <c r="Y318" s="84"/>
      <c r="AB318" s="84"/>
      <c r="AC318" s="84"/>
      <c r="AH318" s="84"/>
      <c r="AI318" s="84"/>
      <c r="AJ318" s="84"/>
      <c r="AK318" s="84"/>
    </row>
    <row r="319" spans="9:37" ht="12.75" customHeight="1" x14ac:dyDescent="0.25">
      <c r="I319" s="84"/>
      <c r="J319" s="84"/>
      <c r="K319" s="84"/>
      <c r="N319" s="84"/>
      <c r="R319" s="84"/>
      <c r="S319" s="84"/>
      <c r="W319" s="84"/>
      <c r="Y319" s="84"/>
      <c r="AB319" s="84"/>
      <c r="AC319" s="84"/>
      <c r="AH319" s="84"/>
      <c r="AI319" s="84"/>
      <c r="AJ319" s="84"/>
      <c r="AK319" s="84"/>
    </row>
    <row r="320" spans="9:37" ht="12.75" customHeight="1" x14ac:dyDescent="0.25">
      <c r="I320" s="84"/>
      <c r="J320" s="84"/>
      <c r="K320" s="84"/>
      <c r="N320" s="84"/>
      <c r="R320" s="84"/>
      <c r="S320" s="84"/>
      <c r="W320" s="84"/>
      <c r="Y320" s="84"/>
      <c r="AB320" s="84"/>
      <c r="AC320" s="84"/>
      <c r="AH320" s="84"/>
      <c r="AI320" s="84"/>
      <c r="AJ320" s="84"/>
      <c r="AK320" s="84"/>
    </row>
    <row r="321" spans="9:37" ht="12.75" customHeight="1" x14ac:dyDescent="0.25">
      <c r="I321" s="84"/>
      <c r="J321" s="84"/>
      <c r="K321" s="84"/>
      <c r="N321" s="84"/>
      <c r="R321" s="84"/>
      <c r="S321" s="84"/>
      <c r="W321" s="84"/>
      <c r="Y321" s="84"/>
      <c r="AB321" s="84"/>
      <c r="AC321" s="84"/>
      <c r="AH321" s="84"/>
      <c r="AI321" s="84"/>
      <c r="AJ321" s="84"/>
      <c r="AK321" s="84"/>
    </row>
    <row r="322" spans="9:37" ht="12.75" customHeight="1" x14ac:dyDescent="0.25">
      <c r="I322" s="84"/>
      <c r="J322" s="84"/>
      <c r="K322" s="84"/>
      <c r="N322" s="84"/>
      <c r="R322" s="84"/>
      <c r="S322" s="84"/>
      <c r="W322" s="84"/>
      <c r="Y322" s="84"/>
      <c r="AB322" s="84"/>
      <c r="AC322" s="84"/>
      <c r="AH322" s="84"/>
      <c r="AI322" s="84"/>
      <c r="AJ322" s="84"/>
      <c r="AK322" s="84"/>
    </row>
    <row r="323" spans="9:37" ht="12.75" customHeight="1" x14ac:dyDescent="0.25">
      <c r="I323" s="84"/>
      <c r="J323" s="84"/>
      <c r="K323" s="84"/>
      <c r="N323" s="84"/>
      <c r="R323" s="84"/>
      <c r="S323" s="84"/>
      <c r="W323" s="84"/>
      <c r="Y323" s="84"/>
      <c r="AB323" s="84"/>
      <c r="AC323" s="84"/>
      <c r="AH323" s="84"/>
      <c r="AI323" s="84"/>
      <c r="AJ323" s="84"/>
      <c r="AK323" s="84"/>
    </row>
    <row r="324" spans="9:37" ht="12.75" customHeight="1" x14ac:dyDescent="0.25">
      <c r="I324" s="84"/>
      <c r="J324" s="84"/>
      <c r="K324" s="84"/>
      <c r="N324" s="84"/>
      <c r="R324" s="84"/>
      <c r="S324" s="84"/>
      <c r="W324" s="84"/>
      <c r="Y324" s="84"/>
      <c r="AB324" s="84"/>
      <c r="AC324" s="84"/>
      <c r="AH324" s="84"/>
      <c r="AI324" s="84"/>
      <c r="AJ324" s="84"/>
      <c r="AK324" s="84"/>
    </row>
    <row r="325" spans="9:37" ht="12.75" customHeight="1" x14ac:dyDescent="0.25">
      <c r="I325" s="84"/>
      <c r="J325" s="84"/>
      <c r="K325" s="84"/>
      <c r="N325" s="84"/>
      <c r="R325" s="84"/>
      <c r="S325" s="84"/>
      <c r="W325" s="84"/>
      <c r="Y325" s="84"/>
      <c r="AB325" s="84"/>
      <c r="AC325" s="84"/>
      <c r="AH325" s="84"/>
      <c r="AI325" s="84"/>
      <c r="AJ325" s="84"/>
      <c r="AK325" s="84"/>
    </row>
    <row r="326" spans="9:37" ht="12.75" customHeight="1" x14ac:dyDescent="0.25">
      <c r="I326" s="84"/>
      <c r="J326" s="84"/>
      <c r="K326" s="84"/>
      <c r="N326" s="84"/>
      <c r="R326" s="84"/>
      <c r="S326" s="84"/>
      <c r="W326" s="84"/>
      <c r="Y326" s="84"/>
      <c r="AB326" s="84"/>
      <c r="AC326" s="84"/>
      <c r="AH326" s="84"/>
      <c r="AI326" s="84"/>
      <c r="AJ326" s="84"/>
      <c r="AK326" s="84"/>
    </row>
    <row r="327" spans="9:37" ht="12.75" customHeight="1" x14ac:dyDescent="0.25">
      <c r="I327" s="84"/>
      <c r="J327" s="84"/>
      <c r="K327" s="84"/>
      <c r="N327" s="84"/>
      <c r="R327" s="84"/>
      <c r="S327" s="84"/>
      <c r="W327" s="84"/>
      <c r="Y327" s="84"/>
      <c r="AB327" s="84"/>
      <c r="AC327" s="84"/>
      <c r="AH327" s="84"/>
      <c r="AI327" s="84"/>
      <c r="AJ327" s="84"/>
      <c r="AK327" s="84"/>
    </row>
    <row r="328" spans="9:37" ht="12.75" customHeight="1" x14ac:dyDescent="0.25">
      <c r="I328" s="84"/>
      <c r="J328" s="84"/>
      <c r="K328" s="84"/>
      <c r="N328" s="84"/>
      <c r="R328" s="84"/>
      <c r="S328" s="84"/>
      <c r="W328" s="84"/>
      <c r="Y328" s="84"/>
      <c r="AB328" s="84"/>
      <c r="AC328" s="84"/>
      <c r="AH328" s="84"/>
      <c r="AI328" s="84"/>
      <c r="AJ328" s="84"/>
      <c r="AK328" s="84"/>
    </row>
    <row r="329" spans="9:37" ht="12.75" customHeight="1" x14ac:dyDescent="0.25">
      <c r="I329" s="84"/>
      <c r="J329" s="84"/>
      <c r="K329" s="84"/>
      <c r="N329" s="84"/>
      <c r="R329" s="84"/>
      <c r="S329" s="84"/>
      <c r="W329" s="84"/>
      <c r="Y329" s="84"/>
      <c r="AB329" s="84"/>
      <c r="AC329" s="84"/>
      <c r="AH329" s="84"/>
      <c r="AI329" s="84"/>
      <c r="AJ329" s="84"/>
      <c r="AK329" s="84"/>
    </row>
    <row r="330" spans="9:37" ht="12.75" customHeight="1" x14ac:dyDescent="0.25">
      <c r="I330" s="84"/>
      <c r="J330" s="84"/>
      <c r="K330" s="84"/>
      <c r="N330" s="84"/>
      <c r="R330" s="84"/>
      <c r="S330" s="84"/>
      <c r="W330" s="84"/>
      <c r="Y330" s="84"/>
      <c r="AB330" s="84"/>
      <c r="AC330" s="84"/>
      <c r="AH330" s="84"/>
      <c r="AI330" s="84"/>
      <c r="AJ330" s="84"/>
      <c r="AK330" s="84"/>
    </row>
    <row r="331" spans="9:37" ht="12.75" customHeight="1" x14ac:dyDescent="0.25">
      <c r="I331" s="84"/>
      <c r="J331" s="84"/>
      <c r="K331" s="84"/>
      <c r="N331" s="84"/>
      <c r="R331" s="84"/>
      <c r="S331" s="84"/>
      <c r="W331" s="84"/>
      <c r="Y331" s="84"/>
      <c r="AB331" s="84"/>
      <c r="AC331" s="84"/>
      <c r="AH331" s="84"/>
      <c r="AI331" s="84"/>
      <c r="AJ331" s="84"/>
      <c r="AK331" s="84"/>
    </row>
    <row r="332" spans="9:37" ht="12.75" customHeight="1" x14ac:dyDescent="0.25">
      <c r="I332" s="84"/>
      <c r="J332" s="84"/>
      <c r="K332" s="84"/>
      <c r="N332" s="84"/>
      <c r="R332" s="84"/>
      <c r="S332" s="84"/>
      <c r="W332" s="84"/>
      <c r="Y332" s="84"/>
      <c r="AB332" s="84"/>
      <c r="AC332" s="84"/>
      <c r="AH332" s="84"/>
      <c r="AI332" s="84"/>
      <c r="AJ332" s="84"/>
      <c r="AK332" s="84"/>
    </row>
    <row r="333" spans="9:37" ht="12.75" customHeight="1" x14ac:dyDescent="0.25">
      <c r="I333" s="84"/>
      <c r="J333" s="84"/>
      <c r="K333" s="84"/>
      <c r="N333" s="84"/>
      <c r="R333" s="84"/>
      <c r="S333" s="84"/>
      <c r="W333" s="84"/>
      <c r="Y333" s="84"/>
      <c r="AB333" s="84"/>
      <c r="AC333" s="84"/>
      <c r="AH333" s="84"/>
      <c r="AI333" s="84"/>
      <c r="AJ333" s="84"/>
      <c r="AK333" s="84"/>
    </row>
    <row r="334" spans="9:37" ht="12.75" customHeight="1" x14ac:dyDescent="0.25">
      <c r="I334" s="84"/>
      <c r="J334" s="84"/>
      <c r="K334" s="84"/>
      <c r="N334" s="84"/>
      <c r="R334" s="84"/>
      <c r="S334" s="84"/>
      <c r="W334" s="84"/>
      <c r="Y334" s="84"/>
      <c r="AB334" s="84"/>
      <c r="AC334" s="84"/>
      <c r="AH334" s="84"/>
      <c r="AI334" s="84"/>
      <c r="AJ334" s="84"/>
      <c r="AK334" s="84"/>
    </row>
    <row r="335" spans="9:37" ht="12.75" customHeight="1" x14ac:dyDescent="0.25">
      <c r="I335" s="84"/>
      <c r="J335" s="84"/>
      <c r="K335" s="84"/>
      <c r="N335" s="84"/>
      <c r="R335" s="84"/>
      <c r="S335" s="84"/>
      <c r="W335" s="84"/>
      <c r="Y335" s="84"/>
      <c r="AB335" s="84"/>
      <c r="AC335" s="84"/>
      <c r="AH335" s="84"/>
      <c r="AI335" s="84"/>
      <c r="AJ335" s="84"/>
      <c r="AK335" s="84"/>
    </row>
    <row r="336" spans="9:37" ht="12.75" customHeight="1" x14ac:dyDescent="0.25">
      <c r="I336" s="84"/>
      <c r="J336" s="84"/>
      <c r="K336" s="84"/>
      <c r="N336" s="84"/>
      <c r="R336" s="84"/>
      <c r="S336" s="84"/>
      <c r="W336" s="84"/>
      <c r="Y336" s="84"/>
      <c r="AB336" s="84"/>
      <c r="AC336" s="84"/>
      <c r="AH336" s="84"/>
      <c r="AI336" s="84"/>
      <c r="AJ336" s="84"/>
      <c r="AK336" s="84"/>
    </row>
    <row r="337" spans="9:37" ht="12.75" customHeight="1" x14ac:dyDescent="0.25">
      <c r="I337" s="84"/>
      <c r="J337" s="84"/>
      <c r="K337" s="84"/>
      <c r="N337" s="84"/>
      <c r="R337" s="84"/>
      <c r="S337" s="84"/>
      <c r="W337" s="84"/>
      <c r="Y337" s="84"/>
      <c r="AB337" s="84"/>
      <c r="AC337" s="84"/>
      <c r="AH337" s="84"/>
      <c r="AI337" s="84"/>
      <c r="AJ337" s="84"/>
      <c r="AK337" s="84"/>
    </row>
    <row r="338" spans="9:37" ht="12.75" customHeight="1" x14ac:dyDescent="0.25">
      <c r="I338" s="84"/>
      <c r="J338" s="84"/>
      <c r="K338" s="84"/>
      <c r="N338" s="84"/>
      <c r="R338" s="84"/>
      <c r="S338" s="84"/>
      <c r="W338" s="84"/>
      <c r="Y338" s="84"/>
      <c r="AB338" s="84"/>
      <c r="AC338" s="84"/>
      <c r="AH338" s="84"/>
      <c r="AI338" s="84"/>
      <c r="AJ338" s="84"/>
      <c r="AK338" s="84"/>
    </row>
    <row r="339" spans="9:37" ht="12.75" customHeight="1" x14ac:dyDescent="0.25">
      <c r="I339" s="84"/>
      <c r="J339" s="84"/>
      <c r="K339" s="84"/>
      <c r="N339" s="84"/>
      <c r="R339" s="84"/>
      <c r="S339" s="84"/>
      <c r="W339" s="84"/>
      <c r="Y339" s="84"/>
      <c r="AB339" s="84"/>
      <c r="AC339" s="84"/>
      <c r="AH339" s="84"/>
      <c r="AI339" s="84"/>
      <c r="AJ339" s="84"/>
      <c r="AK339" s="84"/>
    </row>
    <row r="340" spans="9:37" ht="12.75" customHeight="1" x14ac:dyDescent="0.25">
      <c r="I340" s="84"/>
      <c r="J340" s="84"/>
      <c r="K340" s="84"/>
      <c r="N340" s="84"/>
      <c r="R340" s="84"/>
      <c r="S340" s="84"/>
      <c r="W340" s="84"/>
      <c r="Y340" s="84"/>
      <c r="AB340" s="84"/>
      <c r="AC340" s="84"/>
      <c r="AH340" s="84"/>
      <c r="AI340" s="84"/>
      <c r="AJ340" s="84"/>
      <c r="AK340" s="84"/>
    </row>
    <row r="341" spans="9:37" ht="12.75" customHeight="1" x14ac:dyDescent="0.25">
      <c r="I341" s="84"/>
      <c r="J341" s="84"/>
      <c r="K341" s="84"/>
      <c r="N341" s="84"/>
      <c r="R341" s="84"/>
      <c r="S341" s="84"/>
      <c r="W341" s="84"/>
      <c r="Y341" s="84"/>
      <c r="AB341" s="84"/>
      <c r="AC341" s="84"/>
      <c r="AH341" s="84"/>
      <c r="AI341" s="84"/>
      <c r="AJ341" s="84"/>
      <c r="AK341" s="84"/>
    </row>
    <row r="342" spans="9:37" ht="12.75" customHeight="1" x14ac:dyDescent="0.25">
      <c r="I342" s="84"/>
      <c r="J342" s="84"/>
      <c r="K342" s="84"/>
      <c r="N342" s="84"/>
      <c r="R342" s="84"/>
      <c r="S342" s="84"/>
      <c r="W342" s="84"/>
      <c r="Y342" s="84"/>
      <c r="AB342" s="84"/>
      <c r="AC342" s="84"/>
      <c r="AH342" s="84"/>
      <c r="AI342" s="84"/>
      <c r="AJ342" s="84"/>
      <c r="AK342" s="84"/>
    </row>
    <row r="343" spans="9:37" ht="12.75" customHeight="1" x14ac:dyDescent="0.25">
      <c r="I343" s="84"/>
      <c r="J343" s="84"/>
      <c r="K343" s="84"/>
      <c r="N343" s="84"/>
      <c r="R343" s="84"/>
      <c r="S343" s="84"/>
      <c r="W343" s="84"/>
      <c r="Y343" s="84"/>
      <c r="AB343" s="84"/>
      <c r="AC343" s="84"/>
      <c r="AH343" s="84"/>
      <c r="AI343" s="84"/>
      <c r="AJ343" s="84"/>
      <c r="AK343" s="84"/>
    </row>
    <row r="344" spans="9:37" ht="12.75" customHeight="1" x14ac:dyDescent="0.25">
      <c r="I344" s="84"/>
      <c r="J344" s="84"/>
      <c r="K344" s="84"/>
      <c r="N344" s="84"/>
      <c r="R344" s="84"/>
      <c r="S344" s="84"/>
      <c r="W344" s="84"/>
      <c r="Y344" s="84"/>
      <c r="AB344" s="84"/>
      <c r="AC344" s="84"/>
      <c r="AH344" s="84"/>
      <c r="AI344" s="84"/>
      <c r="AJ344" s="84"/>
      <c r="AK344" s="84"/>
    </row>
    <row r="345" spans="9:37" ht="12.75" customHeight="1" x14ac:dyDescent="0.25">
      <c r="I345" s="84"/>
      <c r="J345" s="84"/>
      <c r="K345" s="84"/>
      <c r="N345" s="84"/>
      <c r="R345" s="84"/>
      <c r="S345" s="84"/>
      <c r="W345" s="84"/>
      <c r="Y345" s="84"/>
      <c r="AB345" s="84"/>
      <c r="AC345" s="84"/>
      <c r="AH345" s="84"/>
      <c r="AI345" s="84"/>
      <c r="AJ345" s="84"/>
      <c r="AK345" s="84"/>
    </row>
    <row r="346" spans="9:37" ht="12.75" customHeight="1" x14ac:dyDescent="0.25">
      <c r="I346" s="84"/>
      <c r="J346" s="84"/>
      <c r="K346" s="84"/>
      <c r="N346" s="84"/>
      <c r="R346" s="84"/>
      <c r="S346" s="84"/>
      <c r="W346" s="84"/>
      <c r="Y346" s="84"/>
      <c r="AB346" s="84"/>
      <c r="AC346" s="84"/>
      <c r="AH346" s="84"/>
      <c r="AI346" s="84"/>
      <c r="AJ346" s="84"/>
      <c r="AK346" s="84"/>
    </row>
    <row r="347" spans="9:37" ht="12.75" customHeight="1" x14ac:dyDescent="0.25">
      <c r="I347" s="84"/>
      <c r="J347" s="84"/>
      <c r="K347" s="84"/>
      <c r="N347" s="84"/>
      <c r="R347" s="84"/>
      <c r="S347" s="84"/>
      <c r="W347" s="84"/>
      <c r="Y347" s="84"/>
      <c r="AB347" s="84"/>
      <c r="AC347" s="84"/>
      <c r="AH347" s="84"/>
      <c r="AI347" s="84"/>
      <c r="AJ347" s="84"/>
      <c r="AK347" s="84"/>
    </row>
    <row r="348" spans="9:37" ht="12.75" customHeight="1" x14ac:dyDescent="0.25">
      <c r="I348" s="84"/>
      <c r="J348" s="84"/>
      <c r="K348" s="84"/>
      <c r="N348" s="84"/>
      <c r="R348" s="84"/>
      <c r="S348" s="84"/>
      <c r="W348" s="84"/>
      <c r="Y348" s="84"/>
      <c r="AB348" s="84"/>
      <c r="AC348" s="84"/>
      <c r="AH348" s="84"/>
      <c r="AI348" s="84"/>
      <c r="AJ348" s="84"/>
      <c r="AK348" s="84"/>
    </row>
    <row r="349" spans="9:37" ht="12.75" customHeight="1" x14ac:dyDescent="0.25">
      <c r="I349" s="84"/>
      <c r="J349" s="84"/>
      <c r="K349" s="84"/>
      <c r="N349" s="84"/>
      <c r="R349" s="84"/>
      <c r="S349" s="84"/>
      <c r="W349" s="84"/>
      <c r="Y349" s="84"/>
      <c r="AB349" s="84"/>
      <c r="AC349" s="84"/>
      <c r="AH349" s="84"/>
      <c r="AI349" s="84"/>
      <c r="AJ349" s="84"/>
      <c r="AK349" s="84"/>
    </row>
    <row r="350" spans="9:37" ht="12.75" customHeight="1" x14ac:dyDescent="0.25">
      <c r="I350" s="84"/>
      <c r="J350" s="84"/>
      <c r="K350" s="84"/>
      <c r="N350" s="84"/>
      <c r="R350" s="84"/>
      <c r="S350" s="84"/>
      <c r="W350" s="84"/>
      <c r="Y350" s="84"/>
      <c r="AB350" s="84"/>
      <c r="AC350" s="84"/>
      <c r="AH350" s="84"/>
      <c r="AI350" s="84"/>
      <c r="AJ350" s="84"/>
      <c r="AK350" s="84"/>
    </row>
    <row r="351" spans="9:37" ht="12.75" customHeight="1" x14ac:dyDescent="0.25">
      <c r="I351" s="84"/>
      <c r="J351" s="84"/>
      <c r="K351" s="84"/>
      <c r="N351" s="84"/>
      <c r="R351" s="84"/>
      <c r="S351" s="84"/>
      <c r="W351" s="84"/>
      <c r="Y351" s="84"/>
      <c r="AB351" s="84"/>
      <c r="AC351" s="84"/>
      <c r="AH351" s="84"/>
      <c r="AI351" s="84"/>
      <c r="AJ351" s="84"/>
      <c r="AK351" s="84"/>
    </row>
    <row r="352" spans="9:37" ht="12.75" customHeight="1" x14ac:dyDescent="0.25">
      <c r="I352" s="84"/>
      <c r="J352" s="84"/>
      <c r="K352" s="84"/>
      <c r="N352" s="84"/>
      <c r="R352" s="84"/>
      <c r="S352" s="84"/>
      <c r="W352" s="84"/>
      <c r="Y352" s="84"/>
      <c r="AB352" s="84"/>
      <c r="AC352" s="84"/>
      <c r="AH352" s="84"/>
      <c r="AI352" s="84"/>
      <c r="AJ352" s="84"/>
      <c r="AK352" s="84"/>
    </row>
    <row r="353" spans="9:37" ht="12.75" customHeight="1" x14ac:dyDescent="0.25">
      <c r="I353" s="84"/>
      <c r="J353" s="84"/>
      <c r="K353" s="84"/>
      <c r="N353" s="84"/>
      <c r="R353" s="84"/>
      <c r="S353" s="84"/>
      <c r="W353" s="84"/>
      <c r="Y353" s="84"/>
      <c r="AB353" s="84"/>
      <c r="AC353" s="84"/>
      <c r="AH353" s="84"/>
      <c r="AI353" s="84"/>
      <c r="AJ353" s="84"/>
      <c r="AK353" s="84"/>
    </row>
    <row r="354" spans="9:37" ht="12.75" customHeight="1" x14ac:dyDescent="0.25">
      <c r="I354" s="84"/>
      <c r="J354" s="84"/>
      <c r="K354" s="84"/>
      <c r="N354" s="84"/>
      <c r="R354" s="84"/>
      <c r="S354" s="84"/>
      <c r="W354" s="84"/>
      <c r="Y354" s="84"/>
      <c r="AB354" s="84"/>
      <c r="AC354" s="84"/>
      <c r="AH354" s="84"/>
      <c r="AI354" s="84"/>
      <c r="AJ354" s="84"/>
      <c r="AK354" s="84"/>
    </row>
    <row r="355" spans="9:37" ht="12.75" customHeight="1" x14ac:dyDescent="0.25">
      <c r="I355" s="84"/>
      <c r="J355" s="84"/>
      <c r="K355" s="84"/>
      <c r="N355" s="84"/>
      <c r="R355" s="84"/>
      <c r="S355" s="84"/>
      <c r="W355" s="84"/>
      <c r="Y355" s="84"/>
      <c r="AB355" s="84"/>
      <c r="AC355" s="84"/>
      <c r="AH355" s="84"/>
      <c r="AI355" s="84"/>
      <c r="AJ355" s="84"/>
      <c r="AK355" s="84"/>
    </row>
    <row r="356" spans="9:37" ht="12.75" customHeight="1" x14ac:dyDescent="0.25">
      <c r="I356" s="84"/>
      <c r="J356" s="84"/>
      <c r="K356" s="84"/>
      <c r="N356" s="84"/>
      <c r="R356" s="84"/>
      <c r="S356" s="84"/>
      <c r="W356" s="84"/>
      <c r="Y356" s="84"/>
      <c r="AB356" s="84"/>
      <c r="AC356" s="84"/>
      <c r="AH356" s="84"/>
      <c r="AI356" s="84"/>
      <c r="AJ356" s="84"/>
      <c r="AK356" s="84"/>
    </row>
    <row r="357" spans="9:37" ht="12.75" customHeight="1" x14ac:dyDescent="0.25">
      <c r="I357" s="84"/>
      <c r="J357" s="84"/>
      <c r="K357" s="84"/>
      <c r="N357" s="84"/>
      <c r="R357" s="84"/>
      <c r="S357" s="84"/>
      <c r="W357" s="84"/>
      <c r="Y357" s="84"/>
      <c r="AB357" s="84"/>
      <c r="AC357" s="84"/>
      <c r="AH357" s="84"/>
      <c r="AI357" s="84"/>
      <c r="AJ357" s="84"/>
      <c r="AK357" s="84"/>
    </row>
    <row r="358" spans="9:37" ht="12.75" customHeight="1" x14ac:dyDescent="0.25">
      <c r="I358" s="84"/>
      <c r="J358" s="84"/>
      <c r="K358" s="84"/>
      <c r="N358" s="84"/>
      <c r="R358" s="84"/>
      <c r="S358" s="84"/>
      <c r="W358" s="84"/>
      <c r="Y358" s="84"/>
      <c r="AB358" s="84"/>
      <c r="AC358" s="84"/>
      <c r="AH358" s="84"/>
      <c r="AI358" s="84"/>
      <c r="AJ358" s="84"/>
      <c r="AK358" s="84"/>
    </row>
    <row r="359" spans="9:37" ht="12.75" customHeight="1" x14ac:dyDescent="0.25">
      <c r="I359" s="84"/>
      <c r="J359" s="84"/>
      <c r="K359" s="84"/>
      <c r="N359" s="84"/>
      <c r="R359" s="84"/>
      <c r="S359" s="84"/>
      <c r="W359" s="84"/>
      <c r="Y359" s="84"/>
      <c r="AB359" s="84"/>
      <c r="AC359" s="84"/>
      <c r="AH359" s="84"/>
      <c r="AI359" s="84"/>
      <c r="AJ359" s="84"/>
      <c r="AK359" s="84"/>
    </row>
    <row r="360" spans="9:37" ht="12.75" customHeight="1" x14ac:dyDescent="0.25">
      <c r="I360" s="84"/>
      <c r="J360" s="84"/>
      <c r="K360" s="84"/>
      <c r="N360" s="84"/>
      <c r="R360" s="84"/>
      <c r="S360" s="84"/>
      <c r="W360" s="84"/>
      <c r="Y360" s="84"/>
      <c r="AB360" s="84"/>
      <c r="AC360" s="84"/>
      <c r="AH360" s="84"/>
      <c r="AI360" s="84"/>
      <c r="AJ360" s="84"/>
      <c r="AK360" s="84"/>
    </row>
    <row r="361" spans="9:37" ht="12.75" customHeight="1" x14ac:dyDescent="0.25">
      <c r="I361" s="84"/>
      <c r="J361" s="84"/>
      <c r="K361" s="84"/>
      <c r="N361" s="84"/>
      <c r="R361" s="84"/>
      <c r="S361" s="84"/>
      <c r="W361" s="84"/>
      <c r="Y361" s="84"/>
      <c r="AB361" s="84"/>
      <c r="AC361" s="84"/>
      <c r="AH361" s="84"/>
      <c r="AI361" s="84"/>
      <c r="AJ361" s="84"/>
      <c r="AK361" s="84"/>
    </row>
    <row r="362" spans="9:37" ht="12.75" customHeight="1" x14ac:dyDescent="0.25">
      <c r="I362" s="84"/>
      <c r="J362" s="84"/>
      <c r="K362" s="84"/>
      <c r="N362" s="84"/>
      <c r="R362" s="84"/>
      <c r="S362" s="84"/>
      <c r="W362" s="84"/>
      <c r="Y362" s="84"/>
      <c r="AB362" s="84"/>
      <c r="AC362" s="84"/>
      <c r="AH362" s="84"/>
      <c r="AI362" s="84"/>
      <c r="AJ362" s="84"/>
      <c r="AK362" s="84"/>
    </row>
    <row r="363" spans="9:37" ht="12.75" customHeight="1" x14ac:dyDescent="0.25">
      <c r="I363" s="84"/>
      <c r="J363" s="84"/>
      <c r="K363" s="84"/>
      <c r="N363" s="84"/>
      <c r="R363" s="84"/>
      <c r="S363" s="84"/>
      <c r="W363" s="84"/>
      <c r="Y363" s="84"/>
      <c r="AB363" s="84"/>
      <c r="AC363" s="84"/>
      <c r="AH363" s="84"/>
      <c r="AI363" s="84"/>
      <c r="AJ363" s="84"/>
      <c r="AK363" s="84"/>
    </row>
    <row r="364" spans="9:37" ht="12.75" customHeight="1" x14ac:dyDescent="0.25">
      <c r="I364" s="84"/>
      <c r="J364" s="84"/>
      <c r="K364" s="84"/>
      <c r="N364" s="84"/>
      <c r="R364" s="84"/>
      <c r="S364" s="84"/>
      <c r="W364" s="84"/>
      <c r="Y364" s="84"/>
      <c r="AB364" s="84"/>
      <c r="AC364" s="84"/>
      <c r="AH364" s="84"/>
      <c r="AI364" s="84"/>
      <c r="AJ364" s="84"/>
      <c r="AK364" s="84"/>
    </row>
    <row r="365" spans="9:37" ht="12.75" customHeight="1" x14ac:dyDescent="0.25">
      <c r="I365" s="84"/>
      <c r="J365" s="84"/>
      <c r="K365" s="84"/>
      <c r="N365" s="84"/>
      <c r="R365" s="84"/>
      <c r="S365" s="84"/>
      <c r="W365" s="84"/>
      <c r="Y365" s="84"/>
      <c r="AB365" s="84"/>
      <c r="AC365" s="84"/>
      <c r="AH365" s="84"/>
      <c r="AI365" s="84"/>
      <c r="AJ365" s="84"/>
      <c r="AK365" s="84"/>
    </row>
    <row r="366" spans="9:37" ht="12.75" customHeight="1" x14ac:dyDescent="0.25">
      <c r="I366" s="84"/>
      <c r="J366" s="84"/>
      <c r="K366" s="84"/>
      <c r="N366" s="84"/>
      <c r="R366" s="84"/>
      <c r="S366" s="84"/>
      <c r="W366" s="84"/>
      <c r="Y366" s="84"/>
      <c r="AB366" s="84"/>
      <c r="AC366" s="84"/>
      <c r="AH366" s="84"/>
      <c r="AI366" s="84"/>
      <c r="AJ366" s="84"/>
      <c r="AK366" s="84"/>
    </row>
    <row r="367" spans="9:37" ht="12.75" customHeight="1" x14ac:dyDescent="0.25">
      <c r="I367" s="84"/>
      <c r="J367" s="84"/>
      <c r="K367" s="84"/>
      <c r="N367" s="84"/>
      <c r="R367" s="84"/>
      <c r="S367" s="84"/>
      <c r="W367" s="84"/>
      <c r="Y367" s="84"/>
      <c r="AB367" s="84"/>
      <c r="AC367" s="84"/>
      <c r="AH367" s="84"/>
      <c r="AI367" s="84"/>
      <c r="AJ367" s="84"/>
      <c r="AK367" s="84"/>
    </row>
    <row r="368" spans="9:37" ht="12.75" customHeight="1" x14ac:dyDescent="0.25">
      <c r="I368" s="84"/>
      <c r="J368" s="84"/>
      <c r="K368" s="84"/>
      <c r="N368" s="84"/>
      <c r="R368" s="84"/>
      <c r="S368" s="84"/>
      <c r="W368" s="84"/>
      <c r="Y368" s="84"/>
      <c r="AB368" s="84"/>
      <c r="AC368" s="84"/>
      <c r="AH368" s="84"/>
      <c r="AI368" s="84"/>
      <c r="AJ368" s="84"/>
      <c r="AK368" s="84"/>
    </row>
    <row r="369" spans="9:37" ht="12.75" customHeight="1" x14ac:dyDescent="0.25">
      <c r="I369" s="84"/>
      <c r="J369" s="84"/>
      <c r="K369" s="84"/>
      <c r="N369" s="84"/>
      <c r="R369" s="84"/>
      <c r="S369" s="84"/>
      <c r="W369" s="84"/>
      <c r="Y369" s="84"/>
      <c r="AB369" s="84"/>
      <c r="AC369" s="84"/>
      <c r="AH369" s="84"/>
      <c r="AI369" s="84"/>
      <c r="AJ369" s="84"/>
      <c r="AK369" s="84"/>
    </row>
    <row r="370" spans="9:37" ht="12.75" customHeight="1" x14ac:dyDescent="0.25">
      <c r="I370" s="84"/>
      <c r="J370" s="84"/>
      <c r="K370" s="84"/>
      <c r="N370" s="84"/>
      <c r="R370" s="84"/>
      <c r="S370" s="84"/>
      <c r="W370" s="84"/>
      <c r="Y370" s="84"/>
      <c r="AB370" s="84"/>
      <c r="AC370" s="84"/>
      <c r="AH370" s="84"/>
      <c r="AI370" s="84"/>
      <c r="AJ370" s="84"/>
      <c r="AK370" s="84"/>
    </row>
    <row r="371" spans="9:37" ht="12.75" customHeight="1" x14ac:dyDescent="0.25">
      <c r="I371" s="84"/>
      <c r="J371" s="84"/>
      <c r="K371" s="84"/>
      <c r="N371" s="84"/>
      <c r="R371" s="84"/>
      <c r="S371" s="84"/>
      <c r="W371" s="84"/>
      <c r="Y371" s="84"/>
      <c r="AB371" s="84"/>
      <c r="AC371" s="84"/>
      <c r="AH371" s="84"/>
      <c r="AI371" s="84"/>
      <c r="AJ371" s="84"/>
      <c r="AK371" s="84"/>
    </row>
    <row r="372" spans="9:37" ht="12.75" customHeight="1" x14ac:dyDescent="0.25">
      <c r="I372" s="84"/>
      <c r="J372" s="84"/>
      <c r="K372" s="84"/>
      <c r="N372" s="84"/>
      <c r="R372" s="84"/>
      <c r="S372" s="84"/>
      <c r="W372" s="84"/>
      <c r="Y372" s="84"/>
      <c r="AB372" s="84"/>
      <c r="AC372" s="84"/>
      <c r="AH372" s="84"/>
      <c r="AI372" s="84"/>
      <c r="AJ372" s="84"/>
      <c r="AK372" s="84"/>
    </row>
    <row r="373" spans="9:37" ht="12.75" customHeight="1" x14ac:dyDescent="0.25">
      <c r="I373" s="84"/>
      <c r="J373" s="84"/>
      <c r="K373" s="84"/>
      <c r="N373" s="84"/>
      <c r="R373" s="84"/>
      <c r="S373" s="84"/>
      <c r="W373" s="84"/>
      <c r="Y373" s="84"/>
      <c r="AB373" s="84"/>
      <c r="AC373" s="84"/>
      <c r="AH373" s="84"/>
      <c r="AI373" s="84"/>
      <c r="AJ373" s="84"/>
      <c r="AK373" s="84"/>
    </row>
    <row r="374" spans="9:37" ht="12.75" customHeight="1" x14ac:dyDescent="0.25">
      <c r="I374" s="84"/>
      <c r="J374" s="84"/>
      <c r="K374" s="84"/>
      <c r="N374" s="84"/>
      <c r="R374" s="84"/>
      <c r="S374" s="84"/>
      <c r="W374" s="84"/>
      <c r="Y374" s="84"/>
      <c r="AB374" s="84"/>
      <c r="AC374" s="84"/>
      <c r="AH374" s="84"/>
      <c r="AI374" s="84"/>
      <c r="AJ374" s="84"/>
      <c r="AK374" s="84"/>
    </row>
    <row r="375" spans="9:37" ht="12.75" customHeight="1" x14ac:dyDescent="0.25">
      <c r="I375" s="84"/>
      <c r="J375" s="84"/>
      <c r="K375" s="84"/>
      <c r="N375" s="84"/>
      <c r="R375" s="84"/>
      <c r="S375" s="84"/>
      <c r="W375" s="84"/>
      <c r="Y375" s="84"/>
      <c r="AB375" s="84"/>
      <c r="AC375" s="84"/>
      <c r="AH375" s="84"/>
      <c r="AI375" s="84"/>
      <c r="AJ375" s="84"/>
      <c r="AK375" s="84"/>
    </row>
    <row r="376" spans="9:37" ht="12.75" customHeight="1" x14ac:dyDescent="0.25">
      <c r="I376" s="84"/>
      <c r="J376" s="84"/>
      <c r="K376" s="84"/>
      <c r="N376" s="84"/>
      <c r="R376" s="84"/>
      <c r="S376" s="84"/>
      <c r="W376" s="84"/>
      <c r="Y376" s="84"/>
      <c r="AB376" s="84"/>
      <c r="AC376" s="84"/>
      <c r="AH376" s="84"/>
      <c r="AI376" s="84"/>
      <c r="AJ376" s="84"/>
      <c r="AK376" s="84"/>
    </row>
    <row r="377" spans="9:37" ht="12.75" customHeight="1" x14ac:dyDescent="0.25">
      <c r="I377" s="84"/>
      <c r="J377" s="84"/>
      <c r="K377" s="84"/>
      <c r="N377" s="84"/>
      <c r="R377" s="84"/>
      <c r="S377" s="84"/>
      <c r="W377" s="84"/>
      <c r="Y377" s="84"/>
      <c r="AB377" s="84"/>
      <c r="AC377" s="84"/>
      <c r="AH377" s="84"/>
      <c r="AI377" s="84"/>
      <c r="AJ377" s="84"/>
      <c r="AK377" s="84"/>
    </row>
    <row r="378" spans="9:37" ht="12.75" customHeight="1" x14ac:dyDescent="0.25">
      <c r="I378" s="84"/>
      <c r="J378" s="84"/>
      <c r="K378" s="84"/>
      <c r="N378" s="84"/>
      <c r="R378" s="84"/>
      <c r="S378" s="84"/>
      <c r="W378" s="84"/>
      <c r="Y378" s="84"/>
      <c r="AB378" s="84"/>
      <c r="AC378" s="84"/>
      <c r="AH378" s="84"/>
      <c r="AI378" s="84"/>
      <c r="AJ378" s="84"/>
      <c r="AK378" s="84"/>
    </row>
    <row r="379" spans="9:37" ht="12.75" customHeight="1" x14ac:dyDescent="0.25">
      <c r="I379" s="84"/>
      <c r="J379" s="84"/>
      <c r="K379" s="84"/>
      <c r="N379" s="84"/>
      <c r="R379" s="84"/>
      <c r="S379" s="84"/>
      <c r="W379" s="84"/>
      <c r="Y379" s="84"/>
      <c r="AB379" s="84"/>
      <c r="AC379" s="84"/>
      <c r="AH379" s="84"/>
      <c r="AI379" s="84"/>
      <c r="AJ379" s="84"/>
      <c r="AK379" s="84"/>
    </row>
    <row r="380" spans="9:37" ht="12.75" customHeight="1" x14ac:dyDescent="0.25">
      <c r="I380" s="84"/>
      <c r="J380" s="84"/>
      <c r="K380" s="84"/>
      <c r="N380" s="84"/>
      <c r="R380" s="84"/>
      <c r="S380" s="84"/>
      <c r="W380" s="84"/>
      <c r="Y380" s="84"/>
      <c r="AB380" s="84"/>
      <c r="AC380" s="84"/>
      <c r="AH380" s="84"/>
      <c r="AI380" s="84"/>
      <c r="AJ380" s="84"/>
      <c r="AK380" s="84"/>
    </row>
    <row r="381" spans="9:37" ht="12.75" customHeight="1" x14ac:dyDescent="0.25">
      <c r="I381" s="84"/>
      <c r="J381" s="84"/>
      <c r="K381" s="84"/>
      <c r="N381" s="84"/>
      <c r="R381" s="84"/>
      <c r="S381" s="84"/>
      <c r="W381" s="84"/>
      <c r="Y381" s="84"/>
      <c r="AB381" s="84"/>
      <c r="AC381" s="84"/>
      <c r="AH381" s="84"/>
      <c r="AI381" s="84"/>
      <c r="AJ381" s="84"/>
      <c r="AK381" s="84"/>
    </row>
    <row r="382" spans="9:37" ht="12.75" customHeight="1" x14ac:dyDescent="0.25">
      <c r="I382" s="84"/>
      <c r="J382" s="84"/>
      <c r="K382" s="84"/>
      <c r="N382" s="84"/>
      <c r="R382" s="84"/>
      <c r="S382" s="84"/>
      <c r="W382" s="84"/>
      <c r="Y382" s="84"/>
      <c r="AB382" s="84"/>
      <c r="AC382" s="84"/>
      <c r="AH382" s="84"/>
      <c r="AI382" s="84"/>
      <c r="AJ382" s="84"/>
      <c r="AK382" s="84"/>
    </row>
    <row r="383" spans="9:37" ht="12.75" customHeight="1" x14ac:dyDescent="0.25">
      <c r="I383" s="84"/>
      <c r="J383" s="84"/>
      <c r="K383" s="84"/>
      <c r="N383" s="84"/>
      <c r="R383" s="84"/>
      <c r="S383" s="84"/>
      <c r="W383" s="84"/>
      <c r="Y383" s="84"/>
      <c r="AB383" s="84"/>
      <c r="AC383" s="84"/>
      <c r="AH383" s="84"/>
      <c r="AI383" s="84"/>
      <c r="AJ383" s="84"/>
      <c r="AK383" s="84"/>
    </row>
    <row r="384" spans="9:37" ht="12.75" customHeight="1" x14ac:dyDescent="0.25">
      <c r="I384" s="84"/>
      <c r="J384" s="84"/>
      <c r="K384" s="84"/>
      <c r="N384" s="84"/>
      <c r="R384" s="84"/>
      <c r="S384" s="84"/>
      <c r="W384" s="84"/>
      <c r="Y384" s="84"/>
      <c r="AB384" s="84"/>
      <c r="AC384" s="84"/>
      <c r="AH384" s="84"/>
      <c r="AI384" s="84"/>
      <c r="AJ384" s="84"/>
      <c r="AK384" s="84"/>
    </row>
    <row r="385" spans="9:37" ht="12.75" customHeight="1" x14ac:dyDescent="0.25">
      <c r="I385" s="84"/>
      <c r="J385" s="84"/>
      <c r="K385" s="84"/>
      <c r="N385" s="84"/>
      <c r="R385" s="84"/>
      <c r="S385" s="84"/>
      <c r="W385" s="84"/>
      <c r="Y385" s="84"/>
      <c r="AB385" s="84"/>
      <c r="AC385" s="84"/>
      <c r="AH385" s="84"/>
      <c r="AI385" s="84"/>
      <c r="AJ385" s="84"/>
      <c r="AK385" s="84"/>
    </row>
    <row r="386" spans="9:37" ht="12.75" customHeight="1" x14ac:dyDescent="0.25">
      <c r="I386" s="84"/>
      <c r="J386" s="84"/>
      <c r="K386" s="84"/>
      <c r="N386" s="84"/>
      <c r="R386" s="84"/>
      <c r="S386" s="84"/>
      <c r="W386" s="84"/>
      <c r="Y386" s="84"/>
      <c r="AB386" s="84"/>
      <c r="AC386" s="84"/>
      <c r="AH386" s="84"/>
      <c r="AI386" s="84"/>
      <c r="AJ386" s="84"/>
      <c r="AK386" s="84"/>
    </row>
    <row r="387" spans="9:37" ht="12.75" customHeight="1" x14ac:dyDescent="0.25">
      <c r="I387" s="84"/>
      <c r="J387" s="84"/>
      <c r="K387" s="84"/>
      <c r="N387" s="84"/>
      <c r="R387" s="84"/>
      <c r="S387" s="84"/>
      <c r="W387" s="84"/>
      <c r="Y387" s="84"/>
      <c r="AB387" s="84"/>
      <c r="AC387" s="84"/>
      <c r="AH387" s="84"/>
      <c r="AI387" s="84"/>
      <c r="AJ387" s="84"/>
      <c r="AK387" s="84"/>
    </row>
    <row r="388" spans="9:37" ht="12.75" customHeight="1" x14ac:dyDescent="0.25">
      <c r="I388" s="84"/>
      <c r="J388" s="84"/>
      <c r="K388" s="84"/>
      <c r="N388" s="84"/>
      <c r="R388" s="84"/>
      <c r="S388" s="84"/>
      <c r="W388" s="84"/>
      <c r="Y388" s="84"/>
      <c r="AB388" s="84"/>
      <c r="AC388" s="84"/>
      <c r="AH388" s="84"/>
      <c r="AI388" s="84"/>
      <c r="AJ388" s="84"/>
      <c r="AK388" s="84"/>
    </row>
    <row r="389" spans="9:37" ht="12.75" customHeight="1" x14ac:dyDescent="0.25">
      <c r="I389" s="84"/>
      <c r="J389" s="84"/>
      <c r="K389" s="84"/>
      <c r="N389" s="84"/>
      <c r="R389" s="84"/>
      <c r="S389" s="84"/>
      <c r="W389" s="84"/>
      <c r="Y389" s="84"/>
      <c r="AB389" s="84"/>
      <c r="AC389" s="84"/>
      <c r="AH389" s="84"/>
      <c r="AI389" s="84"/>
      <c r="AJ389" s="84"/>
      <c r="AK389" s="84"/>
    </row>
    <row r="390" spans="9:37" ht="12.75" customHeight="1" x14ac:dyDescent="0.25">
      <c r="I390" s="84"/>
      <c r="J390" s="84"/>
      <c r="K390" s="84"/>
      <c r="N390" s="84"/>
      <c r="R390" s="84"/>
      <c r="S390" s="84"/>
      <c r="W390" s="84"/>
      <c r="Y390" s="84"/>
      <c r="AB390" s="84"/>
      <c r="AC390" s="84"/>
      <c r="AH390" s="84"/>
      <c r="AI390" s="84"/>
      <c r="AJ390" s="84"/>
      <c r="AK390" s="84"/>
    </row>
    <row r="391" spans="9:37" ht="12.75" customHeight="1" x14ac:dyDescent="0.25">
      <c r="I391" s="84"/>
      <c r="J391" s="84"/>
      <c r="K391" s="84"/>
      <c r="N391" s="84"/>
      <c r="R391" s="84"/>
      <c r="S391" s="84"/>
      <c r="W391" s="84"/>
      <c r="Y391" s="84"/>
      <c r="AB391" s="84"/>
      <c r="AC391" s="84"/>
      <c r="AH391" s="84"/>
      <c r="AI391" s="84"/>
      <c r="AJ391" s="84"/>
      <c r="AK391" s="84"/>
    </row>
    <row r="392" spans="9:37" ht="12.75" customHeight="1" x14ac:dyDescent="0.25">
      <c r="I392" s="84"/>
      <c r="J392" s="84"/>
      <c r="K392" s="84"/>
      <c r="N392" s="84"/>
      <c r="R392" s="84"/>
      <c r="S392" s="84"/>
      <c r="W392" s="84"/>
      <c r="Y392" s="84"/>
      <c r="AB392" s="84"/>
      <c r="AC392" s="84"/>
      <c r="AH392" s="84"/>
      <c r="AI392" s="84"/>
      <c r="AJ392" s="84"/>
      <c r="AK392" s="84"/>
    </row>
    <row r="393" spans="9:37" ht="12.75" customHeight="1" x14ac:dyDescent="0.25">
      <c r="I393" s="84"/>
      <c r="J393" s="84"/>
      <c r="K393" s="84"/>
      <c r="N393" s="84"/>
      <c r="R393" s="84"/>
      <c r="S393" s="84"/>
      <c r="W393" s="84"/>
      <c r="Y393" s="84"/>
      <c r="AB393" s="84"/>
      <c r="AC393" s="84"/>
      <c r="AH393" s="84"/>
      <c r="AI393" s="84"/>
      <c r="AJ393" s="84"/>
      <c r="AK393" s="84"/>
    </row>
    <row r="394" spans="9:37" ht="12.75" customHeight="1" x14ac:dyDescent="0.25">
      <c r="I394" s="84"/>
      <c r="J394" s="84"/>
      <c r="K394" s="84"/>
      <c r="N394" s="84"/>
      <c r="R394" s="84"/>
      <c r="S394" s="84"/>
      <c r="W394" s="84"/>
      <c r="Y394" s="84"/>
      <c r="AB394" s="84"/>
      <c r="AC394" s="84"/>
      <c r="AH394" s="84"/>
      <c r="AI394" s="84"/>
      <c r="AJ394" s="84"/>
      <c r="AK394" s="84"/>
    </row>
    <row r="395" spans="9:37" ht="12.75" customHeight="1" x14ac:dyDescent="0.25">
      <c r="I395" s="84"/>
      <c r="J395" s="84"/>
      <c r="K395" s="84"/>
      <c r="N395" s="84"/>
      <c r="R395" s="84"/>
      <c r="S395" s="84"/>
      <c r="W395" s="84"/>
      <c r="Y395" s="84"/>
      <c r="AB395" s="84"/>
      <c r="AC395" s="84"/>
      <c r="AH395" s="84"/>
      <c r="AI395" s="84"/>
      <c r="AJ395" s="84"/>
      <c r="AK395" s="84"/>
    </row>
    <row r="396" spans="9:37" ht="12.75" customHeight="1" x14ac:dyDescent="0.25">
      <c r="I396" s="84"/>
      <c r="J396" s="84"/>
      <c r="K396" s="84"/>
      <c r="N396" s="84"/>
      <c r="R396" s="84"/>
      <c r="S396" s="84"/>
      <c r="W396" s="84"/>
      <c r="Y396" s="84"/>
      <c r="AB396" s="84"/>
      <c r="AC396" s="84"/>
      <c r="AH396" s="84"/>
      <c r="AI396" s="84"/>
      <c r="AJ396" s="84"/>
      <c r="AK396" s="84"/>
    </row>
    <row r="397" spans="9:37" ht="12.75" customHeight="1" x14ac:dyDescent="0.25">
      <c r="I397" s="84"/>
      <c r="J397" s="84"/>
      <c r="K397" s="84"/>
      <c r="N397" s="84"/>
      <c r="R397" s="84"/>
      <c r="S397" s="84"/>
      <c r="W397" s="84"/>
      <c r="Y397" s="84"/>
      <c r="AB397" s="84"/>
      <c r="AC397" s="84"/>
      <c r="AH397" s="84"/>
      <c r="AI397" s="84"/>
      <c r="AJ397" s="84"/>
      <c r="AK397" s="84"/>
    </row>
    <row r="398" spans="9:37" ht="12.75" customHeight="1" x14ac:dyDescent="0.25">
      <c r="I398" s="84"/>
      <c r="J398" s="84"/>
      <c r="K398" s="84"/>
      <c r="N398" s="84"/>
      <c r="R398" s="84"/>
      <c r="S398" s="84"/>
      <c r="W398" s="84"/>
      <c r="Y398" s="84"/>
      <c r="AB398" s="84"/>
      <c r="AC398" s="84"/>
      <c r="AH398" s="84"/>
      <c r="AI398" s="84"/>
      <c r="AJ398" s="84"/>
      <c r="AK398" s="84"/>
    </row>
    <row r="399" spans="9:37" ht="12.75" customHeight="1" x14ac:dyDescent="0.25">
      <c r="I399" s="84"/>
      <c r="J399" s="84"/>
      <c r="K399" s="84"/>
      <c r="N399" s="84"/>
      <c r="R399" s="84"/>
      <c r="S399" s="84"/>
      <c r="W399" s="84"/>
      <c r="Y399" s="84"/>
      <c r="AB399" s="84"/>
      <c r="AC399" s="84"/>
      <c r="AH399" s="84"/>
      <c r="AI399" s="84"/>
      <c r="AJ399" s="84"/>
      <c r="AK399" s="84"/>
    </row>
    <row r="400" spans="9:37" ht="12.75" customHeight="1" x14ac:dyDescent="0.25">
      <c r="I400" s="84"/>
      <c r="J400" s="84"/>
      <c r="K400" s="84"/>
      <c r="N400" s="84"/>
      <c r="R400" s="84"/>
      <c r="S400" s="84"/>
      <c r="W400" s="84"/>
      <c r="Y400" s="84"/>
      <c r="AB400" s="84"/>
      <c r="AC400" s="84"/>
      <c r="AH400" s="84"/>
      <c r="AI400" s="84"/>
      <c r="AJ400" s="84"/>
      <c r="AK400" s="84"/>
    </row>
    <row r="401" spans="9:37" ht="12.75" customHeight="1" x14ac:dyDescent="0.25">
      <c r="I401" s="84"/>
      <c r="J401" s="84"/>
      <c r="K401" s="84"/>
      <c r="N401" s="84"/>
      <c r="R401" s="84"/>
      <c r="S401" s="84"/>
      <c r="W401" s="84"/>
      <c r="Y401" s="84"/>
      <c r="AB401" s="84"/>
      <c r="AC401" s="84"/>
      <c r="AH401" s="84"/>
      <c r="AI401" s="84"/>
      <c r="AJ401" s="84"/>
      <c r="AK401" s="84"/>
    </row>
    <row r="402" spans="9:37" ht="12.75" customHeight="1" x14ac:dyDescent="0.25">
      <c r="I402" s="84"/>
      <c r="J402" s="84"/>
      <c r="K402" s="84"/>
      <c r="N402" s="84"/>
      <c r="R402" s="84"/>
      <c r="S402" s="84"/>
      <c r="W402" s="84"/>
      <c r="Y402" s="84"/>
      <c r="AB402" s="84"/>
      <c r="AC402" s="84"/>
      <c r="AH402" s="84"/>
      <c r="AI402" s="84"/>
      <c r="AJ402" s="84"/>
      <c r="AK402" s="84"/>
    </row>
    <row r="403" spans="9:37" ht="12.75" customHeight="1" x14ac:dyDescent="0.25">
      <c r="I403" s="84"/>
      <c r="J403" s="84"/>
      <c r="K403" s="84"/>
      <c r="N403" s="84"/>
      <c r="R403" s="84"/>
      <c r="S403" s="84"/>
      <c r="W403" s="84"/>
      <c r="Y403" s="84"/>
      <c r="AB403" s="84"/>
      <c r="AC403" s="84"/>
      <c r="AH403" s="84"/>
      <c r="AI403" s="84"/>
      <c r="AJ403" s="84"/>
      <c r="AK403" s="84"/>
    </row>
    <row r="404" spans="9:37" ht="12.75" customHeight="1" x14ac:dyDescent="0.25">
      <c r="I404" s="84"/>
      <c r="J404" s="84"/>
      <c r="K404" s="84"/>
      <c r="N404" s="84"/>
      <c r="R404" s="84"/>
      <c r="S404" s="84"/>
      <c r="W404" s="84"/>
      <c r="Y404" s="84"/>
      <c r="AB404" s="84"/>
      <c r="AC404" s="84"/>
      <c r="AH404" s="84"/>
      <c r="AI404" s="84"/>
      <c r="AJ404" s="84"/>
      <c r="AK404" s="84"/>
    </row>
    <row r="405" spans="9:37" ht="12.75" customHeight="1" x14ac:dyDescent="0.25">
      <c r="I405" s="84"/>
      <c r="J405" s="84"/>
      <c r="K405" s="84"/>
      <c r="N405" s="84"/>
      <c r="R405" s="84"/>
      <c r="S405" s="84"/>
      <c r="W405" s="84"/>
      <c r="Y405" s="84"/>
      <c r="AB405" s="84"/>
      <c r="AC405" s="84"/>
      <c r="AH405" s="84"/>
      <c r="AI405" s="84"/>
      <c r="AJ405" s="84"/>
      <c r="AK405" s="84"/>
    </row>
    <row r="406" spans="9:37" ht="12.75" customHeight="1" x14ac:dyDescent="0.25">
      <c r="I406" s="84"/>
      <c r="J406" s="84"/>
      <c r="K406" s="84"/>
      <c r="N406" s="84"/>
      <c r="R406" s="84"/>
      <c r="S406" s="84"/>
      <c r="W406" s="84"/>
      <c r="Y406" s="84"/>
      <c r="AB406" s="84"/>
      <c r="AC406" s="84"/>
      <c r="AH406" s="84"/>
      <c r="AI406" s="84"/>
      <c r="AJ406" s="84"/>
      <c r="AK406" s="84"/>
    </row>
    <row r="407" spans="9:37" ht="12.75" customHeight="1" x14ac:dyDescent="0.25">
      <c r="I407" s="84"/>
      <c r="J407" s="84"/>
      <c r="K407" s="84"/>
      <c r="N407" s="84"/>
      <c r="R407" s="84"/>
      <c r="S407" s="84"/>
      <c r="W407" s="84"/>
      <c r="Y407" s="84"/>
      <c r="AB407" s="84"/>
      <c r="AC407" s="84"/>
      <c r="AH407" s="84"/>
      <c r="AI407" s="84"/>
      <c r="AJ407" s="84"/>
      <c r="AK407" s="84"/>
    </row>
    <row r="408" spans="9:37" ht="12.75" customHeight="1" x14ac:dyDescent="0.25">
      <c r="I408" s="84"/>
      <c r="J408" s="84"/>
      <c r="K408" s="84"/>
      <c r="N408" s="84"/>
      <c r="R408" s="84"/>
      <c r="S408" s="84"/>
      <c r="W408" s="84"/>
      <c r="Y408" s="84"/>
      <c r="AB408" s="84"/>
      <c r="AC408" s="84"/>
      <c r="AH408" s="84"/>
      <c r="AI408" s="84"/>
      <c r="AJ408" s="84"/>
      <c r="AK408" s="84"/>
    </row>
    <row r="409" spans="9:37" ht="12.75" customHeight="1" x14ac:dyDescent="0.25">
      <c r="I409" s="84"/>
      <c r="J409" s="84"/>
      <c r="K409" s="84"/>
      <c r="N409" s="84"/>
      <c r="R409" s="84"/>
      <c r="S409" s="84"/>
      <c r="W409" s="84"/>
      <c r="Y409" s="84"/>
      <c r="AB409" s="84"/>
      <c r="AC409" s="84"/>
      <c r="AH409" s="84"/>
      <c r="AI409" s="84"/>
      <c r="AJ409" s="84"/>
      <c r="AK409" s="84"/>
    </row>
    <row r="410" spans="9:37" ht="12.75" customHeight="1" x14ac:dyDescent="0.25">
      <c r="I410" s="84"/>
      <c r="J410" s="84"/>
      <c r="K410" s="84"/>
      <c r="N410" s="84"/>
      <c r="R410" s="84"/>
      <c r="S410" s="84"/>
      <c r="W410" s="84"/>
      <c r="Y410" s="84"/>
      <c r="AB410" s="84"/>
      <c r="AC410" s="84"/>
      <c r="AH410" s="84"/>
      <c r="AI410" s="84"/>
      <c r="AJ410" s="84"/>
      <c r="AK410" s="84"/>
    </row>
    <row r="411" spans="9:37" ht="12.75" customHeight="1" x14ac:dyDescent="0.25">
      <c r="I411" s="84"/>
      <c r="J411" s="84"/>
      <c r="K411" s="84"/>
      <c r="N411" s="84"/>
      <c r="R411" s="84"/>
      <c r="S411" s="84"/>
      <c r="W411" s="84"/>
      <c r="Y411" s="84"/>
      <c r="AB411" s="84"/>
      <c r="AC411" s="84"/>
      <c r="AH411" s="84"/>
      <c r="AI411" s="84"/>
      <c r="AJ411" s="84"/>
      <c r="AK411" s="84"/>
    </row>
    <row r="412" spans="9:37" ht="12.75" customHeight="1" x14ac:dyDescent="0.25">
      <c r="I412" s="84"/>
      <c r="J412" s="84"/>
      <c r="K412" s="84"/>
      <c r="N412" s="84"/>
      <c r="R412" s="84"/>
      <c r="S412" s="84"/>
      <c r="W412" s="84"/>
      <c r="Y412" s="84"/>
      <c r="AB412" s="84"/>
      <c r="AC412" s="84"/>
      <c r="AH412" s="84"/>
      <c r="AI412" s="84"/>
      <c r="AJ412" s="84"/>
      <c r="AK412" s="84"/>
    </row>
    <row r="413" spans="9:37" ht="12.75" customHeight="1" x14ac:dyDescent="0.25">
      <c r="I413" s="84"/>
      <c r="J413" s="84"/>
      <c r="K413" s="84"/>
      <c r="N413" s="84"/>
      <c r="R413" s="84"/>
      <c r="S413" s="84"/>
      <c r="W413" s="84"/>
      <c r="Y413" s="84"/>
      <c r="AB413" s="84"/>
      <c r="AC413" s="84"/>
      <c r="AH413" s="84"/>
      <c r="AI413" s="84"/>
      <c r="AJ413" s="84"/>
      <c r="AK413" s="84"/>
    </row>
    <row r="414" spans="9:37" ht="12.75" customHeight="1" x14ac:dyDescent="0.25">
      <c r="I414" s="84"/>
      <c r="J414" s="84"/>
      <c r="K414" s="84"/>
      <c r="N414" s="84"/>
      <c r="R414" s="84"/>
      <c r="S414" s="84"/>
      <c r="W414" s="84"/>
      <c r="Y414" s="84"/>
      <c r="AB414" s="84"/>
      <c r="AC414" s="84"/>
      <c r="AH414" s="84"/>
      <c r="AI414" s="84"/>
      <c r="AJ414" s="84"/>
      <c r="AK414" s="84"/>
    </row>
    <row r="415" spans="9:37" ht="12.75" customHeight="1" x14ac:dyDescent="0.25">
      <c r="I415" s="84"/>
      <c r="J415" s="84"/>
      <c r="K415" s="84"/>
      <c r="N415" s="84"/>
      <c r="R415" s="84"/>
      <c r="S415" s="84"/>
      <c r="W415" s="84"/>
      <c r="Y415" s="84"/>
      <c r="AB415" s="84"/>
      <c r="AC415" s="84"/>
      <c r="AH415" s="84"/>
      <c r="AI415" s="84"/>
      <c r="AJ415" s="84"/>
      <c r="AK415" s="84"/>
    </row>
    <row r="416" spans="9:37" ht="12.75" customHeight="1" x14ac:dyDescent="0.25">
      <c r="I416" s="84"/>
      <c r="J416" s="84"/>
      <c r="K416" s="84"/>
      <c r="N416" s="84"/>
      <c r="R416" s="84"/>
      <c r="S416" s="84"/>
      <c r="W416" s="84"/>
      <c r="Y416" s="84"/>
      <c r="AB416" s="84"/>
      <c r="AC416" s="84"/>
      <c r="AH416" s="84"/>
      <c r="AI416" s="84"/>
      <c r="AJ416" s="84"/>
      <c r="AK416" s="84"/>
    </row>
    <row r="417" spans="9:37" ht="12.75" customHeight="1" x14ac:dyDescent="0.25">
      <c r="I417" s="84"/>
      <c r="J417" s="84"/>
      <c r="K417" s="84"/>
      <c r="N417" s="84"/>
      <c r="R417" s="84"/>
      <c r="S417" s="84"/>
      <c r="W417" s="84"/>
      <c r="Y417" s="84"/>
      <c r="AB417" s="84"/>
      <c r="AC417" s="84"/>
      <c r="AH417" s="84"/>
      <c r="AI417" s="84"/>
      <c r="AJ417" s="84"/>
      <c r="AK417" s="84"/>
    </row>
    <row r="418" spans="9:37" ht="12.75" customHeight="1" x14ac:dyDescent="0.25">
      <c r="I418" s="84"/>
      <c r="J418" s="84"/>
      <c r="K418" s="84"/>
      <c r="N418" s="84"/>
      <c r="R418" s="84"/>
      <c r="S418" s="84"/>
      <c r="W418" s="84"/>
      <c r="Y418" s="84"/>
      <c r="AB418" s="84"/>
      <c r="AC418" s="84"/>
      <c r="AH418" s="84"/>
      <c r="AI418" s="84"/>
      <c r="AJ418" s="84"/>
      <c r="AK418" s="84"/>
    </row>
    <row r="419" spans="9:37" ht="12.75" customHeight="1" x14ac:dyDescent="0.25">
      <c r="I419" s="84"/>
      <c r="J419" s="84"/>
      <c r="K419" s="84"/>
      <c r="N419" s="84"/>
      <c r="R419" s="84"/>
      <c r="S419" s="84"/>
      <c r="W419" s="84"/>
      <c r="Y419" s="84"/>
      <c r="AB419" s="84"/>
      <c r="AC419" s="84"/>
      <c r="AH419" s="84"/>
      <c r="AI419" s="84"/>
      <c r="AJ419" s="84"/>
      <c r="AK419" s="84"/>
    </row>
    <row r="420" spans="9:37" ht="12.75" customHeight="1" x14ac:dyDescent="0.25">
      <c r="I420" s="84"/>
      <c r="J420" s="84"/>
      <c r="K420" s="84"/>
      <c r="N420" s="84"/>
      <c r="R420" s="84"/>
      <c r="S420" s="84"/>
      <c r="W420" s="84"/>
      <c r="Y420" s="84"/>
      <c r="AB420" s="84"/>
      <c r="AC420" s="84"/>
      <c r="AH420" s="84"/>
      <c r="AI420" s="84"/>
      <c r="AJ420" s="84"/>
      <c r="AK420" s="84"/>
    </row>
    <row r="421" spans="9:37" ht="12.75" customHeight="1" x14ac:dyDescent="0.25">
      <c r="I421" s="84"/>
      <c r="J421" s="84"/>
      <c r="K421" s="84"/>
      <c r="N421" s="84"/>
      <c r="R421" s="84"/>
      <c r="S421" s="84"/>
      <c r="W421" s="84"/>
      <c r="Y421" s="84"/>
      <c r="AB421" s="84"/>
      <c r="AC421" s="84"/>
      <c r="AH421" s="84"/>
      <c r="AI421" s="84"/>
      <c r="AJ421" s="84"/>
      <c r="AK421" s="84"/>
    </row>
    <row r="422" spans="9:37" ht="12.75" customHeight="1" x14ac:dyDescent="0.25">
      <c r="I422" s="84"/>
      <c r="J422" s="84"/>
      <c r="K422" s="84"/>
      <c r="N422" s="84"/>
      <c r="R422" s="84"/>
      <c r="S422" s="84"/>
      <c r="W422" s="84"/>
      <c r="Y422" s="84"/>
      <c r="AB422" s="84"/>
      <c r="AC422" s="84"/>
      <c r="AH422" s="84"/>
      <c r="AI422" s="84"/>
      <c r="AJ422" s="84"/>
      <c r="AK422" s="84"/>
    </row>
    <row r="423" spans="9:37" ht="12.75" customHeight="1" x14ac:dyDescent="0.25">
      <c r="I423" s="84"/>
      <c r="J423" s="84"/>
      <c r="K423" s="84"/>
      <c r="N423" s="84"/>
      <c r="R423" s="84"/>
      <c r="S423" s="84"/>
      <c r="W423" s="84"/>
      <c r="Y423" s="84"/>
      <c r="AB423" s="84"/>
      <c r="AC423" s="84"/>
      <c r="AH423" s="84"/>
      <c r="AI423" s="84"/>
      <c r="AJ423" s="84"/>
      <c r="AK423" s="84"/>
    </row>
    <row r="424" spans="9:37" ht="12.75" customHeight="1" x14ac:dyDescent="0.25">
      <c r="I424" s="84"/>
      <c r="J424" s="84"/>
      <c r="K424" s="84"/>
      <c r="N424" s="84"/>
      <c r="R424" s="84"/>
      <c r="S424" s="84"/>
      <c r="W424" s="84"/>
      <c r="Y424" s="84"/>
      <c r="AB424" s="84"/>
      <c r="AC424" s="84"/>
      <c r="AH424" s="84"/>
      <c r="AI424" s="84"/>
      <c r="AJ424" s="84"/>
      <c r="AK424" s="84"/>
    </row>
    <row r="425" spans="9:37" ht="12.75" customHeight="1" x14ac:dyDescent="0.25">
      <c r="I425" s="84"/>
      <c r="J425" s="84"/>
      <c r="K425" s="84"/>
      <c r="N425" s="84"/>
      <c r="R425" s="84"/>
      <c r="S425" s="84"/>
      <c r="W425" s="84"/>
      <c r="Y425" s="84"/>
      <c r="AB425" s="84"/>
      <c r="AC425" s="84"/>
      <c r="AH425" s="84"/>
      <c r="AI425" s="84"/>
      <c r="AJ425" s="84"/>
      <c r="AK425" s="84"/>
    </row>
    <row r="426" spans="9:37" ht="12.75" customHeight="1" x14ac:dyDescent="0.25">
      <c r="I426" s="84"/>
      <c r="J426" s="84"/>
      <c r="K426" s="84"/>
      <c r="N426" s="84"/>
      <c r="R426" s="84"/>
      <c r="S426" s="84"/>
      <c r="W426" s="84"/>
      <c r="Y426" s="84"/>
      <c r="AB426" s="84"/>
      <c r="AC426" s="84"/>
      <c r="AH426" s="84"/>
      <c r="AI426" s="84"/>
      <c r="AJ426" s="84"/>
      <c r="AK426" s="84"/>
    </row>
    <row r="427" spans="9:37" ht="12.75" customHeight="1" x14ac:dyDescent="0.25">
      <c r="I427" s="84"/>
      <c r="J427" s="84"/>
      <c r="K427" s="84"/>
      <c r="N427" s="84"/>
      <c r="R427" s="84"/>
      <c r="S427" s="84"/>
      <c r="W427" s="84"/>
      <c r="Y427" s="84"/>
      <c r="AB427" s="84"/>
      <c r="AC427" s="84"/>
      <c r="AH427" s="84"/>
      <c r="AI427" s="84"/>
      <c r="AJ427" s="84"/>
      <c r="AK427" s="84"/>
    </row>
    <row r="428" spans="9:37" ht="12.75" customHeight="1" x14ac:dyDescent="0.25">
      <c r="I428" s="84"/>
      <c r="J428" s="84"/>
      <c r="K428" s="84"/>
      <c r="N428" s="84"/>
      <c r="R428" s="84"/>
      <c r="S428" s="84"/>
      <c r="W428" s="84"/>
      <c r="Y428" s="84"/>
      <c r="AB428" s="84"/>
      <c r="AC428" s="84"/>
      <c r="AH428" s="84"/>
      <c r="AI428" s="84"/>
      <c r="AJ428" s="84"/>
      <c r="AK428" s="84"/>
    </row>
    <row r="429" spans="9:37" ht="12.75" customHeight="1" x14ac:dyDescent="0.25">
      <c r="I429" s="84"/>
      <c r="J429" s="84"/>
      <c r="K429" s="84"/>
      <c r="N429" s="84"/>
      <c r="R429" s="84"/>
      <c r="S429" s="84"/>
      <c r="W429" s="84"/>
      <c r="Y429" s="84"/>
      <c r="AB429" s="84"/>
      <c r="AC429" s="84"/>
      <c r="AH429" s="84"/>
      <c r="AI429" s="84"/>
      <c r="AJ429" s="84"/>
      <c r="AK429" s="84"/>
    </row>
    <row r="430" spans="9:37" ht="12.75" customHeight="1" x14ac:dyDescent="0.25">
      <c r="I430" s="84"/>
      <c r="J430" s="84"/>
      <c r="K430" s="84"/>
      <c r="N430" s="84"/>
      <c r="R430" s="84"/>
      <c r="S430" s="84"/>
      <c r="W430" s="84"/>
      <c r="Y430" s="84"/>
      <c r="AB430" s="84"/>
      <c r="AC430" s="84"/>
      <c r="AH430" s="84"/>
      <c r="AI430" s="84"/>
      <c r="AJ430" s="84"/>
      <c r="AK430" s="84"/>
    </row>
    <row r="431" spans="9:37" ht="12.75" customHeight="1" x14ac:dyDescent="0.25">
      <c r="I431" s="84"/>
      <c r="J431" s="84"/>
      <c r="K431" s="84"/>
      <c r="N431" s="84"/>
      <c r="R431" s="84"/>
      <c r="S431" s="84"/>
      <c r="W431" s="84"/>
      <c r="Y431" s="84"/>
      <c r="AB431" s="84"/>
      <c r="AC431" s="84"/>
      <c r="AH431" s="84"/>
      <c r="AI431" s="84"/>
      <c r="AJ431" s="84"/>
      <c r="AK431" s="84"/>
    </row>
    <row r="432" spans="9:37" ht="12.75" customHeight="1" x14ac:dyDescent="0.25">
      <c r="I432" s="84"/>
      <c r="J432" s="84"/>
      <c r="K432" s="84"/>
      <c r="N432" s="84"/>
      <c r="R432" s="84"/>
      <c r="S432" s="84"/>
      <c r="W432" s="84"/>
      <c r="Y432" s="84"/>
      <c r="AB432" s="84"/>
      <c r="AC432" s="84"/>
      <c r="AH432" s="84"/>
      <c r="AI432" s="84"/>
      <c r="AJ432" s="84"/>
      <c r="AK432" s="84"/>
    </row>
    <row r="433" spans="9:37" ht="12.75" customHeight="1" x14ac:dyDescent="0.25">
      <c r="I433" s="84"/>
      <c r="J433" s="84"/>
      <c r="K433" s="84"/>
      <c r="N433" s="84"/>
      <c r="R433" s="84"/>
      <c r="S433" s="84"/>
      <c r="W433" s="84"/>
      <c r="Y433" s="84"/>
      <c r="AB433" s="84"/>
      <c r="AC433" s="84"/>
      <c r="AH433" s="84"/>
      <c r="AI433" s="84"/>
      <c r="AJ433" s="84"/>
      <c r="AK433" s="84"/>
    </row>
    <row r="434" spans="9:37" ht="12.75" customHeight="1" x14ac:dyDescent="0.25">
      <c r="I434" s="84"/>
      <c r="J434" s="84"/>
      <c r="K434" s="84"/>
      <c r="N434" s="84"/>
      <c r="R434" s="84"/>
      <c r="S434" s="84"/>
      <c r="W434" s="84"/>
      <c r="Y434" s="84"/>
      <c r="AB434" s="84"/>
      <c r="AC434" s="84"/>
      <c r="AH434" s="84"/>
      <c r="AI434" s="84"/>
      <c r="AJ434" s="84"/>
      <c r="AK434" s="84"/>
    </row>
    <row r="435" spans="9:37" ht="12.75" customHeight="1" x14ac:dyDescent="0.25">
      <c r="I435" s="84"/>
      <c r="J435" s="84"/>
      <c r="K435" s="84"/>
      <c r="N435" s="84"/>
      <c r="R435" s="84"/>
      <c r="S435" s="84"/>
      <c r="W435" s="84"/>
      <c r="Y435" s="84"/>
      <c r="AB435" s="84"/>
      <c r="AC435" s="84"/>
      <c r="AH435" s="84"/>
      <c r="AI435" s="84"/>
      <c r="AJ435" s="84"/>
      <c r="AK435" s="84"/>
    </row>
    <row r="436" spans="9:37" ht="12.75" customHeight="1" x14ac:dyDescent="0.25">
      <c r="I436" s="84"/>
      <c r="J436" s="84"/>
      <c r="K436" s="84"/>
      <c r="N436" s="84"/>
      <c r="R436" s="84"/>
      <c r="S436" s="84"/>
      <c r="W436" s="84"/>
      <c r="Y436" s="84"/>
      <c r="AB436" s="84"/>
      <c r="AC436" s="84"/>
      <c r="AH436" s="84"/>
      <c r="AI436" s="84"/>
      <c r="AJ436" s="84"/>
      <c r="AK436" s="84"/>
    </row>
    <row r="437" spans="9:37" ht="12.75" customHeight="1" x14ac:dyDescent="0.25">
      <c r="I437" s="84"/>
      <c r="J437" s="84"/>
      <c r="K437" s="84"/>
      <c r="N437" s="84"/>
      <c r="R437" s="84"/>
      <c r="S437" s="84"/>
      <c r="W437" s="84"/>
      <c r="Y437" s="84"/>
      <c r="AB437" s="84"/>
      <c r="AC437" s="84"/>
      <c r="AH437" s="84"/>
      <c r="AI437" s="84"/>
      <c r="AJ437" s="84"/>
      <c r="AK437" s="84"/>
    </row>
    <row r="438" spans="9:37" ht="12.75" customHeight="1" x14ac:dyDescent="0.25">
      <c r="I438" s="84"/>
      <c r="J438" s="84"/>
      <c r="K438" s="84"/>
      <c r="N438" s="84"/>
      <c r="R438" s="84"/>
      <c r="S438" s="84"/>
      <c r="W438" s="84"/>
      <c r="Y438" s="84"/>
      <c r="AB438" s="84"/>
      <c r="AC438" s="84"/>
      <c r="AH438" s="84"/>
      <c r="AI438" s="84"/>
      <c r="AJ438" s="84"/>
      <c r="AK438" s="84"/>
    </row>
    <row r="439" spans="9:37" ht="12.75" customHeight="1" x14ac:dyDescent="0.25">
      <c r="I439" s="84"/>
      <c r="J439" s="84"/>
      <c r="K439" s="84"/>
      <c r="N439" s="84"/>
      <c r="R439" s="84"/>
      <c r="S439" s="84"/>
      <c r="W439" s="84"/>
      <c r="Y439" s="84"/>
      <c r="AB439" s="84"/>
      <c r="AC439" s="84"/>
      <c r="AH439" s="84"/>
      <c r="AI439" s="84"/>
      <c r="AJ439" s="84"/>
      <c r="AK439" s="84"/>
    </row>
    <row r="440" spans="9:37" ht="12.75" customHeight="1" x14ac:dyDescent="0.25">
      <c r="I440" s="84"/>
      <c r="J440" s="84"/>
      <c r="K440" s="84"/>
      <c r="N440" s="84"/>
      <c r="R440" s="84"/>
      <c r="S440" s="84"/>
      <c r="W440" s="84"/>
      <c r="Y440" s="84"/>
      <c r="AB440" s="84"/>
      <c r="AC440" s="84"/>
      <c r="AH440" s="84"/>
      <c r="AI440" s="84"/>
      <c r="AJ440" s="84"/>
      <c r="AK440" s="84"/>
    </row>
    <row r="441" spans="9:37" ht="12.75" customHeight="1" x14ac:dyDescent="0.25">
      <c r="I441" s="84"/>
      <c r="J441" s="84"/>
      <c r="K441" s="84"/>
      <c r="N441" s="84"/>
      <c r="R441" s="84"/>
      <c r="S441" s="84"/>
      <c r="W441" s="84"/>
      <c r="Y441" s="84"/>
      <c r="AB441" s="84"/>
      <c r="AC441" s="84"/>
      <c r="AH441" s="84"/>
      <c r="AI441" s="84"/>
      <c r="AJ441" s="84"/>
      <c r="AK441" s="84"/>
    </row>
    <row r="442" spans="9:37" ht="12.75" customHeight="1" x14ac:dyDescent="0.25">
      <c r="I442" s="84"/>
      <c r="J442" s="84"/>
      <c r="K442" s="84"/>
      <c r="N442" s="84"/>
      <c r="R442" s="84"/>
      <c r="S442" s="84"/>
      <c r="W442" s="84"/>
      <c r="Y442" s="84"/>
      <c r="AB442" s="84"/>
      <c r="AC442" s="84"/>
      <c r="AH442" s="84"/>
      <c r="AI442" s="84"/>
      <c r="AJ442" s="84"/>
      <c r="AK442" s="84"/>
    </row>
    <row r="443" spans="9:37" ht="12.75" customHeight="1" x14ac:dyDescent="0.25">
      <c r="I443" s="84"/>
      <c r="J443" s="84"/>
      <c r="K443" s="84"/>
      <c r="N443" s="84"/>
      <c r="R443" s="84"/>
      <c r="S443" s="84"/>
      <c r="W443" s="84"/>
      <c r="Y443" s="84"/>
      <c r="AB443" s="84"/>
      <c r="AC443" s="84"/>
      <c r="AH443" s="84"/>
      <c r="AI443" s="84"/>
      <c r="AJ443" s="84"/>
      <c r="AK443" s="84"/>
    </row>
    <row r="444" spans="9:37" ht="12.75" customHeight="1" x14ac:dyDescent="0.25">
      <c r="I444" s="84"/>
      <c r="J444" s="84"/>
      <c r="K444" s="84"/>
      <c r="N444" s="84"/>
      <c r="R444" s="84"/>
      <c r="S444" s="84"/>
      <c r="W444" s="84"/>
      <c r="Y444" s="84"/>
      <c r="AB444" s="84"/>
      <c r="AC444" s="84"/>
      <c r="AH444" s="84"/>
      <c r="AI444" s="84"/>
      <c r="AJ444" s="84"/>
      <c r="AK444" s="84"/>
    </row>
    <row r="445" spans="9:37" ht="12.75" customHeight="1" x14ac:dyDescent="0.25">
      <c r="I445" s="84"/>
      <c r="J445" s="84"/>
      <c r="K445" s="84"/>
      <c r="N445" s="84"/>
      <c r="R445" s="84"/>
      <c r="S445" s="84"/>
      <c r="W445" s="84"/>
      <c r="Y445" s="84"/>
      <c r="AB445" s="84"/>
      <c r="AC445" s="84"/>
      <c r="AH445" s="84"/>
      <c r="AI445" s="84"/>
      <c r="AJ445" s="84"/>
      <c r="AK445" s="84"/>
    </row>
    <row r="446" spans="9:37" ht="12.75" customHeight="1" x14ac:dyDescent="0.25">
      <c r="I446" s="84"/>
      <c r="J446" s="84"/>
      <c r="K446" s="84"/>
      <c r="N446" s="84"/>
      <c r="R446" s="84"/>
      <c r="S446" s="84"/>
      <c r="W446" s="84"/>
      <c r="Y446" s="84"/>
      <c r="AB446" s="84"/>
      <c r="AC446" s="84"/>
      <c r="AH446" s="84"/>
      <c r="AI446" s="84"/>
      <c r="AJ446" s="84"/>
      <c r="AK446" s="84"/>
    </row>
    <row r="447" spans="9:37" ht="12.75" customHeight="1" x14ac:dyDescent="0.25">
      <c r="I447" s="84"/>
      <c r="J447" s="84"/>
      <c r="K447" s="84"/>
      <c r="N447" s="84"/>
      <c r="R447" s="84"/>
      <c r="S447" s="84"/>
      <c r="W447" s="84"/>
      <c r="Y447" s="84"/>
      <c r="AB447" s="84"/>
      <c r="AC447" s="84"/>
      <c r="AH447" s="84"/>
      <c r="AI447" s="84"/>
      <c r="AJ447" s="84"/>
      <c r="AK447" s="84"/>
    </row>
    <row r="448" spans="9:37" ht="12.75" customHeight="1" x14ac:dyDescent="0.25">
      <c r="I448" s="84"/>
      <c r="J448" s="84"/>
      <c r="K448" s="84"/>
      <c r="N448" s="84"/>
      <c r="R448" s="84"/>
      <c r="S448" s="84"/>
      <c r="W448" s="84"/>
      <c r="Y448" s="84"/>
      <c r="AB448" s="84"/>
      <c r="AC448" s="84"/>
      <c r="AH448" s="84"/>
      <c r="AI448" s="84"/>
      <c r="AJ448" s="84"/>
      <c r="AK448" s="84"/>
    </row>
    <row r="449" spans="9:37" ht="12.75" customHeight="1" x14ac:dyDescent="0.25">
      <c r="I449" s="84"/>
      <c r="J449" s="84"/>
      <c r="K449" s="84"/>
      <c r="N449" s="84"/>
      <c r="R449" s="84"/>
      <c r="S449" s="84"/>
      <c r="W449" s="84"/>
      <c r="Y449" s="84"/>
      <c r="AB449" s="84"/>
      <c r="AC449" s="84"/>
      <c r="AH449" s="84"/>
      <c r="AI449" s="84"/>
      <c r="AJ449" s="84"/>
      <c r="AK449" s="84"/>
    </row>
    <row r="450" spans="9:37" ht="12.75" customHeight="1" x14ac:dyDescent="0.25">
      <c r="I450" s="84"/>
      <c r="J450" s="84"/>
      <c r="K450" s="84"/>
      <c r="N450" s="84"/>
      <c r="R450" s="84"/>
      <c r="S450" s="84"/>
      <c r="W450" s="84"/>
      <c r="Y450" s="84"/>
      <c r="AB450" s="84"/>
      <c r="AC450" s="84"/>
      <c r="AH450" s="84"/>
      <c r="AI450" s="84"/>
      <c r="AJ450" s="84"/>
      <c r="AK450" s="84"/>
    </row>
    <row r="451" spans="9:37" ht="12.75" customHeight="1" x14ac:dyDescent="0.25">
      <c r="I451" s="84"/>
      <c r="J451" s="84"/>
      <c r="K451" s="84"/>
      <c r="N451" s="84"/>
      <c r="R451" s="84"/>
      <c r="S451" s="84"/>
      <c r="W451" s="84"/>
      <c r="Y451" s="84"/>
      <c r="AB451" s="84"/>
      <c r="AC451" s="84"/>
      <c r="AH451" s="84"/>
      <c r="AI451" s="84"/>
      <c r="AJ451" s="84"/>
      <c r="AK451" s="84"/>
    </row>
    <row r="452" spans="9:37" ht="12.75" customHeight="1" x14ac:dyDescent="0.25">
      <c r="I452" s="84"/>
      <c r="J452" s="84"/>
      <c r="K452" s="84"/>
      <c r="N452" s="84"/>
      <c r="R452" s="84"/>
      <c r="S452" s="84"/>
      <c r="W452" s="84"/>
      <c r="Y452" s="84"/>
      <c r="AB452" s="84"/>
      <c r="AC452" s="84"/>
      <c r="AH452" s="84"/>
      <c r="AI452" s="84"/>
      <c r="AJ452" s="84"/>
      <c r="AK452" s="84"/>
    </row>
    <row r="453" spans="9:37" ht="12.75" customHeight="1" x14ac:dyDescent="0.25">
      <c r="I453" s="84"/>
      <c r="J453" s="84"/>
      <c r="K453" s="84"/>
      <c r="N453" s="84"/>
      <c r="R453" s="84"/>
      <c r="S453" s="84"/>
      <c r="W453" s="84"/>
      <c r="Y453" s="84"/>
      <c r="AB453" s="84"/>
      <c r="AC453" s="84"/>
      <c r="AH453" s="84"/>
      <c r="AI453" s="84"/>
      <c r="AJ453" s="84"/>
      <c r="AK453" s="84"/>
    </row>
    <row r="454" spans="9:37" ht="12.75" customHeight="1" x14ac:dyDescent="0.25">
      <c r="I454" s="84"/>
      <c r="J454" s="84"/>
      <c r="K454" s="84"/>
      <c r="N454" s="84"/>
      <c r="R454" s="84"/>
      <c r="S454" s="84"/>
      <c r="W454" s="84"/>
      <c r="Y454" s="84"/>
      <c r="AB454" s="84"/>
      <c r="AC454" s="84"/>
      <c r="AH454" s="84"/>
      <c r="AI454" s="84"/>
      <c r="AJ454" s="84"/>
      <c r="AK454" s="84"/>
    </row>
    <row r="455" spans="9:37" ht="12.75" customHeight="1" x14ac:dyDescent="0.25">
      <c r="I455" s="84"/>
      <c r="J455" s="84"/>
      <c r="K455" s="84"/>
      <c r="N455" s="84"/>
      <c r="R455" s="84"/>
      <c r="S455" s="84"/>
      <c r="W455" s="84"/>
      <c r="Y455" s="84"/>
      <c r="AB455" s="84"/>
      <c r="AC455" s="84"/>
      <c r="AH455" s="84"/>
      <c r="AI455" s="84"/>
      <c r="AJ455" s="84"/>
      <c r="AK455" s="84"/>
    </row>
    <row r="456" spans="9:37" ht="12.75" customHeight="1" x14ac:dyDescent="0.25">
      <c r="I456" s="84"/>
      <c r="J456" s="84"/>
      <c r="K456" s="84"/>
      <c r="N456" s="84"/>
      <c r="R456" s="84"/>
      <c r="S456" s="84"/>
      <c r="W456" s="84"/>
      <c r="Y456" s="84"/>
      <c r="AB456" s="84"/>
      <c r="AC456" s="84"/>
      <c r="AH456" s="84"/>
      <c r="AI456" s="84"/>
      <c r="AJ456" s="84"/>
      <c r="AK456" s="84"/>
    </row>
    <row r="457" spans="9:37" ht="12.75" customHeight="1" x14ac:dyDescent="0.25">
      <c r="I457" s="84"/>
      <c r="J457" s="84"/>
      <c r="K457" s="84"/>
      <c r="N457" s="84"/>
      <c r="R457" s="84"/>
      <c r="S457" s="84"/>
      <c r="W457" s="84"/>
      <c r="Y457" s="84"/>
      <c r="AB457" s="84"/>
      <c r="AC457" s="84"/>
      <c r="AH457" s="84"/>
      <c r="AI457" s="84"/>
      <c r="AJ457" s="84"/>
      <c r="AK457" s="84"/>
    </row>
    <row r="458" spans="9:37" ht="12.75" customHeight="1" x14ac:dyDescent="0.25">
      <c r="I458" s="84"/>
      <c r="J458" s="84"/>
      <c r="K458" s="84"/>
      <c r="N458" s="84"/>
      <c r="R458" s="84"/>
      <c r="S458" s="84"/>
      <c r="W458" s="84"/>
      <c r="Y458" s="84"/>
      <c r="AB458" s="84"/>
      <c r="AC458" s="84"/>
      <c r="AH458" s="84"/>
      <c r="AI458" s="84"/>
      <c r="AJ458" s="84"/>
      <c r="AK458" s="84"/>
    </row>
    <row r="459" spans="9:37" ht="12.75" customHeight="1" x14ac:dyDescent="0.25">
      <c r="I459" s="84"/>
      <c r="J459" s="84"/>
      <c r="K459" s="84"/>
      <c r="N459" s="84"/>
      <c r="R459" s="84"/>
      <c r="S459" s="84"/>
      <c r="W459" s="84"/>
      <c r="Y459" s="84"/>
      <c r="AB459" s="84"/>
      <c r="AC459" s="84"/>
      <c r="AH459" s="84"/>
      <c r="AI459" s="84"/>
      <c r="AJ459" s="84"/>
      <c r="AK459" s="84"/>
    </row>
    <row r="460" spans="9:37" ht="12.75" customHeight="1" x14ac:dyDescent="0.25">
      <c r="I460" s="84"/>
      <c r="J460" s="84"/>
      <c r="K460" s="84"/>
      <c r="N460" s="84"/>
      <c r="R460" s="84"/>
      <c r="S460" s="84"/>
      <c r="W460" s="84"/>
      <c r="Y460" s="84"/>
      <c r="AB460" s="84"/>
      <c r="AC460" s="84"/>
      <c r="AH460" s="84"/>
      <c r="AI460" s="84"/>
      <c r="AJ460" s="84"/>
      <c r="AK460" s="84"/>
    </row>
    <row r="461" spans="9:37" ht="12.75" customHeight="1" x14ac:dyDescent="0.25">
      <c r="I461" s="84"/>
      <c r="J461" s="84"/>
      <c r="K461" s="84"/>
      <c r="N461" s="84"/>
      <c r="R461" s="84"/>
      <c r="S461" s="84"/>
      <c r="W461" s="84"/>
      <c r="Y461" s="84"/>
      <c r="AB461" s="84"/>
      <c r="AC461" s="84"/>
      <c r="AH461" s="84"/>
      <c r="AI461" s="84"/>
      <c r="AJ461" s="84"/>
      <c r="AK461" s="84"/>
    </row>
    <row r="462" spans="9:37" ht="12.75" customHeight="1" x14ac:dyDescent="0.25">
      <c r="I462" s="84"/>
      <c r="J462" s="84"/>
      <c r="K462" s="84"/>
      <c r="N462" s="84"/>
      <c r="R462" s="84"/>
      <c r="S462" s="84"/>
      <c r="W462" s="84"/>
      <c r="Y462" s="84"/>
      <c r="AB462" s="84"/>
      <c r="AC462" s="84"/>
      <c r="AH462" s="84"/>
      <c r="AI462" s="84"/>
      <c r="AJ462" s="84"/>
      <c r="AK462" s="84"/>
    </row>
    <row r="463" spans="9:37" ht="12.75" customHeight="1" x14ac:dyDescent="0.25">
      <c r="I463" s="84"/>
      <c r="J463" s="84"/>
      <c r="K463" s="84"/>
      <c r="N463" s="84"/>
      <c r="R463" s="84"/>
      <c r="S463" s="84"/>
      <c r="W463" s="84"/>
      <c r="Y463" s="84"/>
      <c r="AB463" s="84"/>
      <c r="AC463" s="84"/>
      <c r="AH463" s="84"/>
      <c r="AI463" s="84"/>
      <c r="AJ463" s="84"/>
      <c r="AK463" s="84"/>
    </row>
    <row r="464" spans="9:37" ht="12.75" customHeight="1" x14ac:dyDescent="0.25">
      <c r="I464" s="84"/>
      <c r="J464" s="84"/>
      <c r="K464" s="84"/>
      <c r="N464" s="84"/>
      <c r="R464" s="84"/>
      <c r="S464" s="84"/>
      <c r="W464" s="84"/>
      <c r="Y464" s="84"/>
      <c r="AB464" s="84"/>
      <c r="AC464" s="84"/>
      <c r="AH464" s="84"/>
      <c r="AI464" s="84"/>
      <c r="AJ464" s="84"/>
      <c r="AK464" s="84"/>
    </row>
    <row r="465" spans="9:37" ht="12.75" customHeight="1" x14ac:dyDescent="0.25">
      <c r="I465" s="84"/>
      <c r="J465" s="84"/>
      <c r="K465" s="84"/>
      <c r="N465" s="84"/>
      <c r="R465" s="84"/>
      <c r="S465" s="84"/>
      <c r="W465" s="84"/>
      <c r="Y465" s="84"/>
      <c r="AB465" s="84"/>
      <c r="AC465" s="84"/>
      <c r="AH465" s="84"/>
      <c r="AI465" s="84"/>
      <c r="AJ465" s="84"/>
      <c r="AK465" s="84"/>
    </row>
    <row r="466" spans="9:37" ht="12.75" customHeight="1" x14ac:dyDescent="0.25">
      <c r="I466" s="84"/>
      <c r="J466" s="84"/>
      <c r="K466" s="84"/>
      <c r="N466" s="84"/>
      <c r="R466" s="84"/>
      <c r="S466" s="84"/>
      <c r="W466" s="84"/>
      <c r="Y466" s="84"/>
      <c r="AB466" s="84"/>
      <c r="AC466" s="84"/>
      <c r="AH466" s="84"/>
      <c r="AI466" s="84"/>
      <c r="AJ466" s="84"/>
      <c r="AK466" s="84"/>
    </row>
    <row r="467" spans="9:37" ht="12.75" customHeight="1" x14ac:dyDescent="0.25">
      <c r="I467" s="84"/>
      <c r="J467" s="84"/>
      <c r="K467" s="84"/>
      <c r="N467" s="84"/>
      <c r="R467" s="84"/>
      <c r="S467" s="84"/>
      <c r="W467" s="84"/>
      <c r="Y467" s="84"/>
      <c r="AB467" s="84"/>
      <c r="AC467" s="84"/>
      <c r="AH467" s="84"/>
      <c r="AI467" s="84"/>
      <c r="AJ467" s="84"/>
      <c r="AK467" s="84"/>
    </row>
    <row r="468" spans="9:37" ht="12.75" customHeight="1" x14ac:dyDescent="0.25">
      <c r="I468" s="84"/>
      <c r="J468" s="84"/>
      <c r="K468" s="84"/>
      <c r="N468" s="84"/>
      <c r="R468" s="84"/>
      <c r="S468" s="84"/>
      <c r="W468" s="84"/>
      <c r="Y468" s="84"/>
      <c r="AB468" s="84"/>
      <c r="AC468" s="84"/>
      <c r="AH468" s="84"/>
      <c r="AI468" s="84"/>
      <c r="AJ468" s="84"/>
      <c r="AK468" s="84"/>
    </row>
    <row r="469" spans="9:37" ht="12.75" customHeight="1" x14ac:dyDescent="0.25">
      <c r="I469" s="84"/>
      <c r="J469" s="84"/>
      <c r="K469" s="84"/>
      <c r="N469" s="84"/>
      <c r="R469" s="84"/>
      <c r="S469" s="84"/>
      <c r="W469" s="84"/>
      <c r="Y469" s="84"/>
      <c r="AB469" s="84"/>
      <c r="AC469" s="84"/>
      <c r="AH469" s="84"/>
      <c r="AI469" s="84"/>
      <c r="AJ469" s="84"/>
      <c r="AK469" s="84"/>
    </row>
    <row r="470" spans="9:37" ht="12.75" customHeight="1" x14ac:dyDescent="0.25">
      <c r="I470" s="84"/>
      <c r="J470" s="84"/>
      <c r="K470" s="84"/>
      <c r="N470" s="84"/>
      <c r="R470" s="84"/>
      <c r="S470" s="84"/>
      <c r="W470" s="84"/>
      <c r="Y470" s="84"/>
      <c r="AB470" s="84"/>
      <c r="AC470" s="84"/>
      <c r="AH470" s="84"/>
      <c r="AI470" s="84"/>
      <c r="AJ470" s="84"/>
      <c r="AK470" s="84"/>
    </row>
    <row r="471" spans="9:37" ht="12.75" customHeight="1" x14ac:dyDescent="0.25">
      <c r="I471" s="84"/>
      <c r="J471" s="84"/>
      <c r="K471" s="84"/>
      <c r="N471" s="84"/>
      <c r="R471" s="84"/>
      <c r="S471" s="84"/>
      <c r="W471" s="84"/>
      <c r="Y471" s="84"/>
      <c r="AB471" s="84"/>
      <c r="AC471" s="84"/>
      <c r="AH471" s="84"/>
      <c r="AI471" s="84"/>
      <c r="AJ471" s="84"/>
      <c r="AK471" s="84"/>
    </row>
    <row r="472" spans="9:37" ht="12.75" customHeight="1" x14ac:dyDescent="0.25">
      <c r="I472" s="84"/>
      <c r="J472" s="84"/>
      <c r="K472" s="84"/>
      <c r="N472" s="84"/>
      <c r="R472" s="84"/>
      <c r="S472" s="84"/>
      <c r="W472" s="84"/>
      <c r="Y472" s="84"/>
      <c r="AB472" s="84"/>
      <c r="AC472" s="84"/>
      <c r="AH472" s="84"/>
      <c r="AI472" s="84"/>
      <c r="AJ472" s="84"/>
      <c r="AK472" s="84"/>
    </row>
    <row r="473" spans="9:37" ht="12.75" customHeight="1" x14ac:dyDescent="0.25">
      <c r="I473" s="84"/>
      <c r="J473" s="84"/>
      <c r="K473" s="84"/>
      <c r="N473" s="84"/>
      <c r="R473" s="84"/>
      <c r="S473" s="84"/>
      <c r="W473" s="84"/>
      <c r="Y473" s="84"/>
      <c r="AB473" s="84"/>
      <c r="AC473" s="84"/>
      <c r="AH473" s="84"/>
      <c r="AI473" s="84"/>
      <c r="AJ473" s="84"/>
      <c r="AK473" s="84"/>
    </row>
    <row r="474" spans="9:37" ht="12.75" customHeight="1" x14ac:dyDescent="0.25">
      <c r="I474" s="84"/>
      <c r="J474" s="84"/>
      <c r="K474" s="84"/>
      <c r="N474" s="84"/>
      <c r="R474" s="84"/>
      <c r="S474" s="84"/>
      <c r="W474" s="84"/>
      <c r="Y474" s="84"/>
      <c r="AB474" s="84"/>
      <c r="AC474" s="84"/>
      <c r="AH474" s="84"/>
      <c r="AI474" s="84"/>
      <c r="AJ474" s="84"/>
      <c r="AK474" s="84"/>
    </row>
    <row r="475" spans="9:37" ht="12.75" customHeight="1" x14ac:dyDescent="0.25">
      <c r="I475" s="84"/>
      <c r="J475" s="84"/>
      <c r="K475" s="84"/>
      <c r="N475" s="84"/>
      <c r="R475" s="84"/>
      <c r="S475" s="84"/>
      <c r="W475" s="84"/>
      <c r="Y475" s="84"/>
      <c r="AB475" s="84"/>
      <c r="AC475" s="84"/>
      <c r="AH475" s="84"/>
      <c r="AI475" s="84"/>
      <c r="AJ475" s="84"/>
      <c r="AK475" s="84"/>
    </row>
    <row r="476" spans="9:37" ht="12.75" customHeight="1" x14ac:dyDescent="0.25">
      <c r="I476" s="84"/>
      <c r="J476" s="84"/>
      <c r="K476" s="84"/>
      <c r="N476" s="84"/>
      <c r="R476" s="84"/>
      <c r="S476" s="84"/>
      <c r="W476" s="84"/>
      <c r="Y476" s="84"/>
      <c r="AB476" s="84"/>
      <c r="AC476" s="84"/>
      <c r="AH476" s="84"/>
      <c r="AI476" s="84"/>
      <c r="AJ476" s="84"/>
      <c r="AK476" s="84"/>
    </row>
    <row r="477" spans="9:37" ht="12.75" customHeight="1" x14ac:dyDescent="0.25">
      <c r="I477" s="84"/>
      <c r="J477" s="84"/>
      <c r="K477" s="84"/>
      <c r="N477" s="84"/>
      <c r="R477" s="84"/>
      <c r="S477" s="84"/>
      <c r="W477" s="84"/>
      <c r="Y477" s="84"/>
      <c r="AB477" s="84"/>
      <c r="AC477" s="84"/>
      <c r="AH477" s="84"/>
      <c r="AI477" s="84"/>
      <c r="AJ477" s="84"/>
      <c r="AK477" s="84"/>
    </row>
    <row r="478" spans="9:37" ht="12.75" customHeight="1" x14ac:dyDescent="0.25">
      <c r="I478" s="84"/>
      <c r="J478" s="84"/>
      <c r="K478" s="84"/>
      <c r="N478" s="84"/>
      <c r="R478" s="84"/>
      <c r="S478" s="84"/>
      <c r="W478" s="84"/>
      <c r="Y478" s="84"/>
      <c r="AB478" s="84"/>
      <c r="AC478" s="84"/>
      <c r="AH478" s="84"/>
      <c r="AI478" s="84"/>
      <c r="AJ478" s="84"/>
      <c r="AK478" s="84"/>
    </row>
    <row r="479" spans="9:37" ht="12.75" customHeight="1" x14ac:dyDescent="0.25">
      <c r="I479" s="84"/>
      <c r="J479" s="84"/>
      <c r="K479" s="84"/>
      <c r="N479" s="84"/>
      <c r="R479" s="84"/>
      <c r="S479" s="84"/>
      <c r="W479" s="84"/>
      <c r="Y479" s="84"/>
      <c r="AB479" s="84"/>
      <c r="AC479" s="84"/>
      <c r="AH479" s="84"/>
      <c r="AI479" s="84"/>
      <c r="AJ479" s="84"/>
      <c r="AK479" s="84"/>
    </row>
    <row r="480" spans="9:37" ht="12.75" customHeight="1" x14ac:dyDescent="0.25">
      <c r="I480" s="84"/>
      <c r="J480" s="84"/>
      <c r="K480" s="84"/>
      <c r="N480" s="84"/>
      <c r="R480" s="84"/>
      <c r="S480" s="84"/>
      <c r="W480" s="84"/>
      <c r="Y480" s="84"/>
      <c r="AB480" s="84"/>
      <c r="AC480" s="84"/>
      <c r="AH480" s="84"/>
      <c r="AI480" s="84"/>
      <c r="AJ480" s="84"/>
      <c r="AK480" s="84"/>
    </row>
    <row r="481" spans="9:37" ht="12.75" customHeight="1" x14ac:dyDescent="0.25">
      <c r="I481" s="84"/>
      <c r="J481" s="84"/>
      <c r="K481" s="84"/>
      <c r="N481" s="84"/>
      <c r="R481" s="84"/>
      <c r="S481" s="84"/>
      <c r="W481" s="84"/>
      <c r="Y481" s="84"/>
      <c r="AB481" s="84"/>
      <c r="AC481" s="84"/>
      <c r="AH481" s="84"/>
      <c r="AI481" s="84"/>
      <c r="AJ481" s="84"/>
      <c r="AK481" s="84"/>
    </row>
    <row r="482" spans="9:37" ht="12.75" customHeight="1" x14ac:dyDescent="0.25">
      <c r="I482" s="84"/>
      <c r="J482" s="84"/>
      <c r="K482" s="84"/>
      <c r="N482" s="84"/>
      <c r="R482" s="84"/>
      <c r="S482" s="84"/>
      <c r="W482" s="84"/>
      <c r="Y482" s="84"/>
      <c r="AB482" s="84"/>
      <c r="AC482" s="84"/>
      <c r="AH482" s="84"/>
      <c r="AI482" s="84"/>
      <c r="AJ482" s="84"/>
      <c r="AK482" s="84"/>
    </row>
    <row r="483" spans="9:37" ht="12.75" customHeight="1" x14ac:dyDescent="0.25">
      <c r="I483" s="84"/>
      <c r="J483" s="84"/>
      <c r="K483" s="84"/>
      <c r="N483" s="84"/>
      <c r="R483" s="84"/>
      <c r="S483" s="84"/>
      <c r="W483" s="84"/>
      <c r="Y483" s="84"/>
      <c r="AB483" s="84"/>
      <c r="AC483" s="84"/>
      <c r="AH483" s="84"/>
      <c r="AI483" s="84"/>
      <c r="AJ483" s="84"/>
      <c r="AK483" s="84"/>
    </row>
    <row r="484" spans="9:37" ht="12.75" customHeight="1" x14ac:dyDescent="0.25">
      <c r="I484" s="84"/>
      <c r="J484" s="84"/>
      <c r="K484" s="84"/>
      <c r="N484" s="84"/>
      <c r="R484" s="84"/>
      <c r="S484" s="84"/>
      <c r="W484" s="84"/>
      <c r="Y484" s="84"/>
      <c r="AB484" s="84"/>
      <c r="AC484" s="84"/>
      <c r="AH484" s="84"/>
      <c r="AI484" s="84"/>
      <c r="AJ484" s="84"/>
      <c r="AK484" s="84"/>
    </row>
    <row r="485" spans="9:37" ht="12.75" customHeight="1" x14ac:dyDescent="0.25">
      <c r="I485" s="84"/>
      <c r="J485" s="84"/>
      <c r="K485" s="84"/>
      <c r="N485" s="84"/>
      <c r="R485" s="84"/>
      <c r="S485" s="84"/>
      <c r="W485" s="84"/>
      <c r="Y485" s="84"/>
      <c r="AB485" s="84"/>
      <c r="AC485" s="84"/>
      <c r="AH485" s="84"/>
      <c r="AI485" s="84"/>
      <c r="AJ485" s="84"/>
      <c r="AK485" s="84"/>
    </row>
    <row r="486" spans="9:37" ht="12.75" customHeight="1" x14ac:dyDescent="0.25">
      <c r="I486" s="84"/>
      <c r="J486" s="84"/>
      <c r="K486" s="84"/>
      <c r="N486" s="84"/>
      <c r="R486" s="84"/>
      <c r="S486" s="84"/>
      <c r="W486" s="84"/>
      <c r="Y486" s="84"/>
      <c r="AB486" s="84"/>
      <c r="AC486" s="84"/>
      <c r="AH486" s="84"/>
      <c r="AI486" s="84"/>
      <c r="AJ486" s="84"/>
      <c r="AK486" s="84"/>
    </row>
    <row r="487" spans="9:37" ht="12.75" customHeight="1" x14ac:dyDescent="0.25">
      <c r="I487" s="84"/>
      <c r="J487" s="84"/>
      <c r="K487" s="84"/>
      <c r="N487" s="84"/>
      <c r="R487" s="84"/>
      <c r="S487" s="84"/>
      <c r="W487" s="84"/>
      <c r="Y487" s="84"/>
      <c r="AB487" s="84"/>
      <c r="AC487" s="84"/>
      <c r="AH487" s="84"/>
      <c r="AI487" s="84"/>
      <c r="AJ487" s="84"/>
      <c r="AK487" s="84"/>
    </row>
    <row r="488" spans="9:37" ht="12.75" customHeight="1" x14ac:dyDescent="0.25">
      <c r="I488" s="84"/>
      <c r="J488" s="84"/>
      <c r="K488" s="84"/>
      <c r="N488" s="84"/>
      <c r="R488" s="84"/>
      <c r="S488" s="84"/>
      <c r="W488" s="84"/>
      <c r="Y488" s="84"/>
      <c r="AB488" s="84"/>
      <c r="AC488" s="84"/>
      <c r="AH488" s="84"/>
      <c r="AI488" s="84"/>
      <c r="AJ488" s="84"/>
      <c r="AK488" s="84"/>
    </row>
    <row r="489" spans="9:37" ht="12.75" customHeight="1" x14ac:dyDescent="0.25">
      <c r="I489" s="84"/>
      <c r="J489" s="84"/>
      <c r="K489" s="84"/>
      <c r="N489" s="84"/>
      <c r="R489" s="84"/>
      <c r="S489" s="84"/>
      <c r="W489" s="84"/>
      <c r="Y489" s="84"/>
      <c r="AB489" s="84"/>
      <c r="AC489" s="84"/>
      <c r="AH489" s="84"/>
      <c r="AI489" s="84"/>
      <c r="AJ489" s="84"/>
      <c r="AK489" s="84"/>
    </row>
    <row r="490" spans="9:37" ht="12.75" customHeight="1" x14ac:dyDescent="0.25">
      <c r="I490" s="84"/>
      <c r="J490" s="84"/>
      <c r="K490" s="84"/>
      <c r="N490" s="84"/>
      <c r="R490" s="84"/>
      <c r="S490" s="84"/>
      <c r="W490" s="84"/>
      <c r="Y490" s="84"/>
      <c r="AB490" s="84"/>
      <c r="AC490" s="84"/>
      <c r="AH490" s="84"/>
      <c r="AI490" s="84"/>
      <c r="AJ490" s="84"/>
      <c r="AK490" s="84"/>
    </row>
    <row r="491" spans="9:37" ht="12.75" customHeight="1" x14ac:dyDescent="0.25">
      <c r="I491" s="84"/>
      <c r="J491" s="84"/>
      <c r="K491" s="84"/>
      <c r="N491" s="84"/>
      <c r="R491" s="84"/>
      <c r="S491" s="84"/>
      <c r="W491" s="84"/>
      <c r="Y491" s="84"/>
      <c r="AB491" s="84"/>
      <c r="AC491" s="84"/>
      <c r="AH491" s="84"/>
      <c r="AI491" s="84"/>
      <c r="AJ491" s="84"/>
      <c r="AK491" s="84"/>
    </row>
    <row r="492" spans="9:37" ht="12.75" customHeight="1" x14ac:dyDescent="0.25">
      <c r="I492" s="84"/>
      <c r="J492" s="84"/>
      <c r="K492" s="84"/>
      <c r="N492" s="84"/>
      <c r="R492" s="84"/>
      <c r="S492" s="84"/>
      <c r="W492" s="84"/>
      <c r="Y492" s="84"/>
      <c r="AB492" s="84"/>
      <c r="AC492" s="84"/>
      <c r="AH492" s="84"/>
      <c r="AI492" s="84"/>
      <c r="AJ492" s="84"/>
      <c r="AK492" s="84"/>
    </row>
    <row r="493" spans="9:37" ht="12.75" customHeight="1" x14ac:dyDescent="0.25">
      <c r="I493" s="84"/>
      <c r="J493" s="84"/>
      <c r="K493" s="84"/>
      <c r="N493" s="84"/>
      <c r="R493" s="84"/>
      <c r="S493" s="84"/>
      <c r="W493" s="84"/>
      <c r="Y493" s="84"/>
      <c r="AB493" s="84"/>
      <c r="AC493" s="84"/>
      <c r="AH493" s="84"/>
      <c r="AI493" s="84"/>
      <c r="AJ493" s="84"/>
      <c r="AK493" s="84"/>
    </row>
    <row r="494" spans="9:37" ht="12.75" customHeight="1" x14ac:dyDescent="0.25">
      <c r="I494" s="84"/>
      <c r="J494" s="84"/>
      <c r="K494" s="84"/>
      <c r="N494" s="84"/>
      <c r="R494" s="84"/>
      <c r="S494" s="84"/>
      <c r="W494" s="84"/>
      <c r="Y494" s="84"/>
      <c r="AB494" s="84"/>
      <c r="AC494" s="84"/>
      <c r="AH494" s="84"/>
      <c r="AI494" s="84"/>
      <c r="AJ494" s="84"/>
      <c r="AK494" s="84"/>
    </row>
    <row r="495" spans="9:37" ht="12.75" customHeight="1" x14ac:dyDescent="0.25">
      <c r="I495" s="84"/>
      <c r="J495" s="84"/>
      <c r="K495" s="84"/>
      <c r="N495" s="84"/>
      <c r="R495" s="84"/>
      <c r="S495" s="84"/>
      <c r="W495" s="84"/>
      <c r="Y495" s="84"/>
      <c r="AB495" s="84"/>
      <c r="AC495" s="84"/>
      <c r="AH495" s="84"/>
      <c r="AI495" s="84"/>
      <c r="AJ495" s="84"/>
      <c r="AK495" s="84"/>
    </row>
    <row r="496" spans="9:37" ht="12.75" customHeight="1" x14ac:dyDescent="0.25">
      <c r="I496" s="84"/>
      <c r="J496" s="84"/>
      <c r="K496" s="84"/>
      <c r="N496" s="84"/>
      <c r="R496" s="84"/>
      <c r="S496" s="84"/>
      <c r="W496" s="84"/>
      <c r="Y496" s="84"/>
      <c r="AB496" s="84"/>
      <c r="AC496" s="84"/>
      <c r="AH496" s="84"/>
      <c r="AI496" s="84"/>
      <c r="AJ496" s="84"/>
      <c r="AK496" s="84"/>
    </row>
    <row r="497" spans="9:37" ht="12.75" customHeight="1" x14ac:dyDescent="0.25">
      <c r="I497" s="84"/>
      <c r="J497" s="84"/>
      <c r="K497" s="84"/>
      <c r="N497" s="84"/>
      <c r="R497" s="84"/>
      <c r="S497" s="84"/>
      <c r="W497" s="84"/>
      <c r="Y497" s="84"/>
      <c r="AB497" s="84"/>
      <c r="AC497" s="84"/>
      <c r="AH497" s="84"/>
      <c r="AI497" s="84"/>
      <c r="AJ497" s="84"/>
      <c r="AK497" s="84"/>
    </row>
    <row r="498" spans="9:37" ht="12.75" customHeight="1" x14ac:dyDescent="0.25">
      <c r="I498" s="84"/>
      <c r="J498" s="84"/>
      <c r="K498" s="84"/>
      <c r="N498" s="84"/>
      <c r="R498" s="84"/>
      <c r="S498" s="84"/>
      <c r="W498" s="84"/>
      <c r="Y498" s="84"/>
      <c r="AB498" s="84"/>
      <c r="AC498" s="84"/>
      <c r="AH498" s="84"/>
      <c r="AI498" s="84"/>
      <c r="AJ498" s="84"/>
      <c r="AK498" s="84"/>
    </row>
    <row r="499" spans="9:37" ht="12.75" customHeight="1" x14ac:dyDescent="0.25">
      <c r="I499" s="84"/>
      <c r="J499" s="84"/>
      <c r="K499" s="84"/>
      <c r="N499" s="84"/>
      <c r="R499" s="84"/>
      <c r="S499" s="84"/>
      <c r="W499" s="84"/>
      <c r="Y499" s="84"/>
      <c r="AB499" s="84"/>
      <c r="AC499" s="84"/>
      <c r="AH499" s="84"/>
      <c r="AI499" s="84"/>
      <c r="AJ499" s="84"/>
      <c r="AK499" s="84"/>
    </row>
    <row r="500" spans="9:37" ht="12.75" customHeight="1" x14ac:dyDescent="0.25">
      <c r="I500" s="84"/>
      <c r="J500" s="84"/>
      <c r="K500" s="84"/>
      <c r="N500" s="84"/>
      <c r="R500" s="84"/>
      <c r="S500" s="84"/>
      <c r="W500" s="84"/>
      <c r="Y500" s="84"/>
      <c r="AB500" s="84"/>
      <c r="AC500" s="84"/>
      <c r="AH500" s="84"/>
      <c r="AI500" s="84"/>
      <c r="AJ500" s="84"/>
      <c r="AK500" s="84"/>
    </row>
    <row r="501" spans="9:37" ht="12.75" customHeight="1" x14ac:dyDescent="0.25">
      <c r="I501" s="84"/>
      <c r="J501" s="84"/>
      <c r="K501" s="84"/>
      <c r="N501" s="84"/>
      <c r="R501" s="84"/>
      <c r="S501" s="84"/>
      <c r="W501" s="84"/>
      <c r="Y501" s="84"/>
      <c r="AB501" s="84"/>
      <c r="AC501" s="84"/>
      <c r="AH501" s="84"/>
      <c r="AI501" s="84"/>
      <c r="AJ501" s="84"/>
      <c r="AK501" s="84"/>
    </row>
    <row r="502" spans="9:37" ht="12.75" customHeight="1" x14ac:dyDescent="0.25">
      <c r="I502" s="84"/>
      <c r="J502" s="84"/>
      <c r="K502" s="84"/>
      <c r="N502" s="84"/>
      <c r="R502" s="84"/>
      <c r="S502" s="84"/>
      <c r="W502" s="84"/>
      <c r="Y502" s="84"/>
      <c r="AB502" s="84"/>
      <c r="AC502" s="84"/>
      <c r="AH502" s="84"/>
      <c r="AI502" s="84"/>
      <c r="AJ502" s="84"/>
      <c r="AK502" s="84"/>
    </row>
    <row r="503" spans="9:37" ht="12.75" customHeight="1" x14ac:dyDescent="0.25">
      <c r="I503" s="84"/>
      <c r="J503" s="84"/>
      <c r="K503" s="84"/>
      <c r="N503" s="84"/>
      <c r="R503" s="84"/>
      <c r="S503" s="84"/>
      <c r="W503" s="84"/>
      <c r="Y503" s="84"/>
      <c r="AB503" s="84"/>
      <c r="AC503" s="84"/>
      <c r="AH503" s="84"/>
      <c r="AI503" s="84"/>
      <c r="AJ503" s="84"/>
      <c r="AK503" s="84"/>
    </row>
    <row r="504" spans="9:37" ht="12.75" customHeight="1" x14ac:dyDescent="0.25">
      <c r="I504" s="84"/>
      <c r="J504" s="84"/>
      <c r="K504" s="84"/>
      <c r="N504" s="84"/>
      <c r="R504" s="84"/>
      <c r="S504" s="84"/>
      <c r="W504" s="84"/>
      <c r="Y504" s="84"/>
      <c r="AB504" s="84"/>
      <c r="AC504" s="84"/>
      <c r="AH504" s="84"/>
      <c r="AI504" s="84"/>
      <c r="AJ504" s="84"/>
      <c r="AK504" s="84"/>
    </row>
    <row r="505" spans="9:37" ht="12.75" customHeight="1" x14ac:dyDescent="0.25">
      <c r="I505" s="84"/>
      <c r="J505" s="84"/>
      <c r="K505" s="84"/>
      <c r="N505" s="84"/>
      <c r="R505" s="84"/>
      <c r="S505" s="84"/>
      <c r="W505" s="84"/>
      <c r="Y505" s="84"/>
      <c r="AB505" s="84"/>
      <c r="AC505" s="84"/>
      <c r="AH505" s="84"/>
      <c r="AI505" s="84"/>
      <c r="AJ505" s="84"/>
      <c r="AK505" s="84"/>
    </row>
    <row r="506" spans="9:37" ht="12.75" customHeight="1" x14ac:dyDescent="0.25">
      <c r="I506" s="84"/>
      <c r="J506" s="84"/>
      <c r="K506" s="84"/>
      <c r="N506" s="84"/>
      <c r="R506" s="84"/>
      <c r="S506" s="84"/>
      <c r="W506" s="84"/>
      <c r="Y506" s="84"/>
      <c r="AB506" s="84"/>
      <c r="AC506" s="84"/>
      <c r="AH506" s="84"/>
      <c r="AI506" s="84"/>
      <c r="AJ506" s="84"/>
      <c r="AK506" s="84"/>
    </row>
    <row r="507" spans="9:37" ht="12.75" customHeight="1" x14ac:dyDescent="0.25">
      <c r="I507" s="84"/>
      <c r="J507" s="84"/>
      <c r="K507" s="84"/>
      <c r="N507" s="84"/>
      <c r="R507" s="84"/>
      <c r="S507" s="84"/>
      <c r="W507" s="84"/>
      <c r="Y507" s="84"/>
      <c r="AB507" s="84"/>
      <c r="AC507" s="84"/>
      <c r="AH507" s="84"/>
      <c r="AI507" s="84"/>
      <c r="AJ507" s="84"/>
      <c r="AK507" s="84"/>
    </row>
    <row r="508" spans="9:37" ht="12.75" customHeight="1" x14ac:dyDescent="0.25">
      <c r="I508" s="84"/>
      <c r="J508" s="84"/>
      <c r="K508" s="84"/>
      <c r="N508" s="84"/>
      <c r="R508" s="84"/>
      <c r="S508" s="84"/>
      <c r="W508" s="84"/>
      <c r="Y508" s="84"/>
      <c r="AB508" s="84"/>
      <c r="AC508" s="84"/>
      <c r="AH508" s="84"/>
      <c r="AI508" s="84"/>
      <c r="AJ508" s="84"/>
      <c r="AK508" s="84"/>
    </row>
    <row r="509" spans="9:37" ht="12.75" customHeight="1" x14ac:dyDescent="0.25">
      <c r="I509" s="84"/>
      <c r="J509" s="84"/>
      <c r="K509" s="84"/>
      <c r="N509" s="84"/>
      <c r="R509" s="84"/>
      <c r="S509" s="84"/>
      <c r="W509" s="84"/>
      <c r="Y509" s="84"/>
      <c r="AB509" s="84"/>
      <c r="AC509" s="84"/>
      <c r="AH509" s="84"/>
      <c r="AI509" s="84"/>
      <c r="AJ509" s="84"/>
      <c r="AK509" s="84"/>
    </row>
    <row r="510" spans="9:37" ht="12.75" customHeight="1" x14ac:dyDescent="0.25">
      <c r="I510" s="84"/>
      <c r="J510" s="84"/>
      <c r="K510" s="84"/>
      <c r="N510" s="84"/>
      <c r="R510" s="84"/>
      <c r="S510" s="84"/>
      <c r="W510" s="84"/>
      <c r="Y510" s="84"/>
      <c r="AB510" s="84"/>
      <c r="AC510" s="84"/>
      <c r="AH510" s="84"/>
      <c r="AI510" s="84"/>
      <c r="AJ510" s="84"/>
      <c r="AK510" s="84"/>
    </row>
    <row r="511" spans="9:37" ht="12.75" customHeight="1" x14ac:dyDescent="0.25">
      <c r="I511" s="84"/>
      <c r="J511" s="84"/>
      <c r="K511" s="84"/>
      <c r="N511" s="84"/>
      <c r="R511" s="84"/>
      <c r="S511" s="84"/>
      <c r="W511" s="84"/>
      <c r="Y511" s="84"/>
      <c r="AB511" s="84"/>
      <c r="AC511" s="84"/>
      <c r="AH511" s="84"/>
      <c r="AI511" s="84"/>
      <c r="AJ511" s="84"/>
      <c r="AK511" s="84"/>
    </row>
    <row r="512" spans="9:37" ht="12.75" customHeight="1" x14ac:dyDescent="0.25">
      <c r="I512" s="84"/>
      <c r="J512" s="84"/>
      <c r="K512" s="84"/>
      <c r="N512" s="84"/>
      <c r="R512" s="84"/>
      <c r="S512" s="84"/>
      <c r="W512" s="84"/>
      <c r="Y512" s="84"/>
      <c r="AB512" s="84"/>
      <c r="AC512" s="84"/>
      <c r="AH512" s="84"/>
      <c r="AI512" s="84"/>
      <c r="AJ512" s="84"/>
      <c r="AK512" s="84"/>
    </row>
    <row r="513" spans="9:37" ht="12.75" customHeight="1" x14ac:dyDescent="0.25">
      <c r="I513" s="84"/>
      <c r="J513" s="84"/>
      <c r="K513" s="84"/>
      <c r="N513" s="84"/>
      <c r="R513" s="84"/>
      <c r="S513" s="84"/>
      <c r="W513" s="84"/>
      <c r="Y513" s="84"/>
      <c r="AB513" s="84"/>
      <c r="AC513" s="84"/>
      <c r="AH513" s="84"/>
      <c r="AI513" s="84"/>
      <c r="AJ513" s="84"/>
      <c r="AK513" s="84"/>
    </row>
    <row r="514" spans="9:37" ht="12.75" customHeight="1" x14ac:dyDescent="0.25">
      <c r="I514" s="84"/>
      <c r="J514" s="84"/>
      <c r="K514" s="84"/>
      <c r="N514" s="84"/>
      <c r="R514" s="84"/>
      <c r="S514" s="84"/>
      <c r="W514" s="84"/>
      <c r="Y514" s="84"/>
      <c r="AB514" s="84"/>
      <c r="AC514" s="84"/>
      <c r="AH514" s="84"/>
      <c r="AI514" s="84"/>
      <c r="AJ514" s="84"/>
      <c r="AK514" s="84"/>
    </row>
    <row r="515" spans="9:37" ht="12.75" customHeight="1" x14ac:dyDescent="0.25">
      <c r="I515" s="84"/>
      <c r="J515" s="84"/>
      <c r="K515" s="84"/>
      <c r="N515" s="84"/>
      <c r="R515" s="84"/>
      <c r="S515" s="84"/>
      <c r="W515" s="84"/>
      <c r="Y515" s="84"/>
      <c r="AB515" s="84"/>
      <c r="AC515" s="84"/>
      <c r="AH515" s="84"/>
      <c r="AI515" s="84"/>
      <c r="AJ515" s="84"/>
      <c r="AK515" s="84"/>
    </row>
    <row r="516" spans="9:37" ht="12.75" customHeight="1" x14ac:dyDescent="0.25">
      <c r="I516" s="84"/>
      <c r="J516" s="84"/>
      <c r="K516" s="84"/>
      <c r="N516" s="84"/>
      <c r="R516" s="84"/>
      <c r="S516" s="84"/>
      <c r="W516" s="84"/>
      <c r="Y516" s="84"/>
      <c r="AB516" s="84"/>
      <c r="AC516" s="84"/>
      <c r="AH516" s="84"/>
      <c r="AI516" s="84"/>
      <c r="AJ516" s="84"/>
      <c r="AK516" s="84"/>
    </row>
    <row r="517" spans="9:37" ht="12.75" customHeight="1" x14ac:dyDescent="0.25">
      <c r="I517" s="84"/>
      <c r="J517" s="84"/>
      <c r="K517" s="84"/>
      <c r="N517" s="84"/>
      <c r="R517" s="84"/>
      <c r="S517" s="84"/>
      <c r="W517" s="84"/>
      <c r="Y517" s="84"/>
      <c r="AB517" s="84"/>
      <c r="AC517" s="84"/>
      <c r="AH517" s="84"/>
      <c r="AI517" s="84"/>
      <c r="AJ517" s="84"/>
      <c r="AK517" s="84"/>
    </row>
    <row r="518" spans="9:37" ht="12.75" customHeight="1" x14ac:dyDescent="0.25">
      <c r="I518" s="84"/>
      <c r="J518" s="84"/>
      <c r="K518" s="84"/>
      <c r="N518" s="84"/>
      <c r="R518" s="84"/>
      <c r="S518" s="84"/>
      <c r="W518" s="84"/>
      <c r="Y518" s="84"/>
      <c r="AB518" s="84"/>
      <c r="AC518" s="84"/>
      <c r="AH518" s="84"/>
      <c r="AI518" s="84"/>
      <c r="AJ518" s="84"/>
      <c r="AK518" s="84"/>
    </row>
    <row r="519" spans="9:37" ht="12.75" customHeight="1" x14ac:dyDescent="0.25">
      <c r="I519" s="84"/>
      <c r="J519" s="84"/>
      <c r="K519" s="84"/>
      <c r="N519" s="84"/>
      <c r="R519" s="84"/>
      <c r="S519" s="84"/>
      <c r="W519" s="84"/>
      <c r="Y519" s="84"/>
      <c r="AB519" s="84"/>
      <c r="AC519" s="84"/>
      <c r="AH519" s="84"/>
      <c r="AI519" s="84"/>
      <c r="AJ519" s="84"/>
      <c r="AK519" s="84"/>
    </row>
    <row r="520" spans="9:37" ht="12.75" customHeight="1" x14ac:dyDescent="0.25">
      <c r="I520" s="84"/>
      <c r="J520" s="84"/>
      <c r="K520" s="84"/>
      <c r="N520" s="84"/>
      <c r="R520" s="84"/>
      <c r="S520" s="84"/>
      <c r="W520" s="84"/>
      <c r="Y520" s="84"/>
      <c r="AB520" s="84"/>
      <c r="AC520" s="84"/>
      <c r="AH520" s="84"/>
      <c r="AI520" s="84"/>
      <c r="AJ520" s="84"/>
      <c r="AK520" s="84"/>
    </row>
    <row r="521" spans="9:37" ht="12.75" customHeight="1" x14ac:dyDescent="0.25">
      <c r="I521" s="84"/>
      <c r="J521" s="84"/>
      <c r="K521" s="84"/>
      <c r="N521" s="84"/>
      <c r="R521" s="84"/>
      <c r="S521" s="84"/>
      <c r="W521" s="84"/>
      <c r="Y521" s="84"/>
      <c r="AB521" s="84"/>
      <c r="AC521" s="84"/>
      <c r="AH521" s="84"/>
      <c r="AI521" s="84"/>
      <c r="AJ521" s="84"/>
      <c r="AK521" s="84"/>
    </row>
    <row r="522" spans="9:37" ht="12.75" customHeight="1" x14ac:dyDescent="0.25">
      <c r="I522" s="84"/>
      <c r="J522" s="84"/>
      <c r="K522" s="84"/>
      <c r="N522" s="84"/>
      <c r="R522" s="84"/>
      <c r="S522" s="84"/>
      <c r="W522" s="84"/>
      <c r="Y522" s="84"/>
      <c r="AB522" s="84"/>
      <c r="AC522" s="84"/>
      <c r="AH522" s="84"/>
      <c r="AI522" s="84"/>
      <c r="AJ522" s="84"/>
      <c r="AK522" s="84"/>
    </row>
    <row r="523" spans="9:37" ht="12.75" customHeight="1" x14ac:dyDescent="0.25">
      <c r="I523" s="84"/>
      <c r="J523" s="84"/>
      <c r="K523" s="84"/>
      <c r="N523" s="84"/>
      <c r="R523" s="84"/>
      <c r="S523" s="84"/>
      <c r="W523" s="84"/>
      <c r="Y523" s="84"/>
      <c r="AB523" s="84"/>
      <c r="AC523" s="84"/>
      <c r="AH523" s="84"/>
      <c r="AI523" s="84"/>
      <c r="AJ523" s="84"/>
      <c r="AK523" s="84"/>
    </row>
    <row r="524" spans="9:37" ht="12.75" customHeight="1" x14ac:dyDescent="0.25">
      <c r="I524" s="84"/>
      <c r="J524" s="84"/>
      <c r="K524" s="84"/>
      <c r="N524" s="84"/>
      <c r="R524" s="84"/>
      <c r="S524" s="84"/>
      <c r="W524" s="84"/>
      <c r="Y524" s="84"/>
      <c r="AB524" s="84"/>
      <c r="AC524" s="84"/>
      <c r="AH524" s="84"/>
      <c r="AI524" s="84"/>
      <c r="AJ524" s="84"/>
      <c r="AK524" s="84"/>
    </row>
    <row r="525" spans="9:37" ht="12.75" customHeight="1" x14ac:dyDescent="0.25">
      <c r="I525" s="84"/>
      <c r="J525" s="84"/>
      <c r="K525" s="84"/>
      <c r="N525" s="84"/>
      <c r="R525" s="84"/>
      <c r="S525" s="84"/>
      <c r="W525" s="84"/>
      <c r="Y525" s="84"/>
      <c r="AB525" s="84"/>
      <c r="AC525" s="84"/>
      <c r="AH525" s="84"/>
      <c r="AI525" s="84"/>
      <c r="AJ525" s="84"/>
      <c r="AK525" s="84"/>
    </row>
    <row r="526" spans="9:37" ht="12.75" customHeight="1" x14ac:dyDescent="0.25">
      <c r="I526" s="84"/>
      <c r="J526" s="84"/>
      <c r="K526" s="84"/>
      <c r="N526" s="84"/>
      <c r="R526" s="84"/>
      <c r="S526" s="84"/>
      <c r="W526" s="84"/>
      <c r="Y526" s="84"/>
      <c r="AB526" s="84"/>
      <c r="AC526" s="84"/>
      <c r="AH526" s="84"/>
      <c r="AI526" s="84"/>
      <c r="AJ526" s="84"/>
      <c r="AK526" s="84"/>
    </row>
    <row r="527" spans="9:37" ht="12.75" customHeight="1" x14ac:dyDescent="0.25">
      <c r="I527" s="84"/>
      <c r="J527" s="84"/>
      <c r="K527" s="84"/>
      <c r="N527" s="84"/>
      <c r="R527" s="84"/>
      <c r="S527" s="84"/>
      <c r="W527" s="84"/>
      <c r="Y527" s="84"/>
      <c r="AB527" s="84"/>
      <c r="AC527" s="84"/>
      <c r="AH527" s="84"/>
      <c r="AI527" s="84"/>
      <c r="AJ527" s="84"/>
      <c r="AK527" s="84"/>
    </row>
    <row r="528" spans="9:37" ht="12.75" customHeight="1" x14ac:dyDescent="0.25">
      <c r="I528" s="84"/>
      <c r="J528" s="84"/>
      <c r="K528" s="84"/>
      <c r="N528" s="84"/>
      <c r="R528" s="84"/>
      <c r="S528" s="84"/>
      <c r="W528" s="84"/>
      <c r="Y528" s="84"/>
      <c r="AB528" s="84"/>
      <c r="AC528" s="84"/>
      <c r="AH528" s="84"/>
      <c r="AI528" s="84"/>
      <c r="AJ528" s="84"/>
      <c r="AK528" s="84"/>
    </row>
    <row r="529" spans="9:37" ht="12.75" customHeight="1" x14ac:dyDescent="0.25">
      <c r="I529" s="84"/>
      <c r="J529" s="84"/>
      <c r="K529" s="84"/>
      <c r="N529" s="84"/>
      <c r="R529" s="84"/>
      <c r="S529" s="84"/>
      <c r="W529" s="84"/>
      <c r="Y529" s="84"/>
      <c r="AB529" s="84"/>
      <c r="AC529" s="84"/>
      <c r="AH529" s="84"/>
      <c r="AI529" s="84"/>
      <c r="AJ529" s="84"/>
      <c r="AK529" s="84"/>
    </row>
    <row r="530" spans="9:37" ht="12.75" customHeight="1" x14ac:dyDescent="0.25">
      <c r="I530" s="84"/>
      <c r="J530" s="84"/>
      <c r="K530" s="84"/>
      <c r="N530" s="84"/>
      <c r="R530" s="84"/>
      <c r="S530" s="84"/>
      <c r="W530" s="84"/>
      <c r="Y530" s="84"/>
      <c r="AB530" s="84"/>
      <c r="AC530" s="84"/>
      <c r="AH530" s="84"/>
      <c r="AI530" s="84"/>
      <c r="AJ530" s="84"/>
      <c r="AK530" s="84"/>
    </row>
    <row r="531" spans="9:37" ht="12.75" customHeight="1" x14ac:dyDescent="0.25">
      <c r="I531" s="84"/>
      <c r="J531" s="84"/>
      <c r="K531" s="84"/>
      <c r="N531" s="84"/>
      <c r="R531" s="84"/>
      <c r="S531" s="84"/>
      <c r="W531" s="84"/>
      <c r="Y531" s="84"/>
      <c r="AB531" s="84"/>
      <c r="AC531" s="84"/>
      <c r="AH531" s="84"/>
      <c r="AI531" s="84"/>
      <c r="AJ531" s="84"/>
      <c r="AK531" s="84"/>
    </row>
    <row r="532" spans="9:37" ht="12.75" customHeight="1" x14ac:dyDescent="0.25">
      <c r="I532" s="84"/>
      <c r="J532" s="84"/>
      <c r="K532" s="84"/>
      <c r="N532" s="84"/>
      <c r="R532" s="84"/>
      <c r="S532" s="84"/>
      <c r="W532" s="84"/>
      <c r="Y532" s="84"/>
      <c r="AB532" s="84"/>
      <c r="AC532" s="84"/>
      <c r="AH532" s="84"/>
      <c r="AI532" s="84"/>
      <c r="AJ532" s="84"/>
      <c r="AK532" s="84"/>
    </row>
    <row r="533" spans="9:37" ht="12.75" customHeight="1" x14ac:dyDescent="0.25">
      <c r="I533" s="84"/>
      <c r="J533" s="84"/>
      <c r="K533" s="84"/>
      <c r="N533" s="84"/>
      <c r="R533" s="84"/>
      <c r="S533" s="84"/>
      <c r="W533" s="84"/>
      <c r="Y533" s="84"/>
      <c r="AB533" s="84"/>
      <c r="AC533" s="84"/>
      <c r="AH533" s="84"/>
      <c r="AI533" s="84"/>
      <c r="AJ533" s="84"/>
      <c r="AK533" s="84"/>
    </row>
    <row r="534" spans="9:37" ht="12.75" customHeight="1" x14ac:dyDescent="0.25">
      <c r="I534" s="84"/>
      <c r="J534" s="84"/>
      <c r="K534" s="84"/>
      <c r="N534" s="84"/>
      <c r="R534" s="84"/>
      <c r="S534" s="84"/>
      <c r="W534" s="84"/>
      <c r="Y534" s="84"/>
      <c r="AB534" s="84"/>
      <c r="AC534" s="84"/>
      <c r="AH534" s="84"/>
      <c r="AI534" s="84"/>
      <c r="AJ534" s="84"/>
      <c r="AK534" s="84"/>
    </row>
    <row r="535" spans="9:37" ht="12.75" customHeight="1" x14ac:dyDescent="0.25">
      <c r="I535" s="84"/>
      <c r="J535" s="84"/>
      <c r="K535" s="84"/>
      <c r="N535" s="84"/>
      <c r="R535" s="84"/>
      <c r="S535" s="84"/>
      <c r="W535" s="84"/>
      <c r="Y535" s="84"/>
      <c r="AB535" s="84"/>
      <c r="AC535" s="84"/>
      <c r="AH535" s="84"/>
      <c r="AI535" s="84"/>
      <c r="AJ535" s="84"/>
      <c r="AK535" s="84"/>
    </row>
    <row r="536" spans="9:37" ht="12.75" customHeight="1" x14ac:dyDescent="0.25">
      <c r="I536" s="84"/>
      <c r="J536" s="84"/>
      <c r="K536" s="84"/>
      <c r="N536" s="84"/>
      <c r="R536" s="84"/>
      <c r="S536" s="84"/>
      <c r="W536" s="84"/>
      <c r="Y536" s="84"/>
      <c r="AB536" s="84"/>
      <c r="AC536" s="84"/>
      <c r="AH536" s="84"/>
      <c r="AI536" s="84"/>
      <c r="AJ536" s="84"/>
      <c r="AK536" s="84"/>
    </row>
    <row r="537" spans="9:37" ht="12.75" customHeight="1" x14ac:dyDescent="0.25">
      <c r="I537" s="84"/>
      <c r="J537" s="84"/>
      <c r="K537" s="84"/>
      <c r="N537" s="84"/>
      <c r="R537" s="84"/>
      <c r="S537" s="84"/>
      <c r="W537" s="84"/>
      <c r="Y537" s="84"/>
      <c r="AB537" s="84"/>
      <c r="AC537" s="84"/>
      <c r="AH537" s="84"/>
      <c r="AI537" s="84"/>
      <c r="AJ537" s="84"/>
      <c r="AK537" s="84"/>
    </row>
    <row r="538" spans="9:37" ht="12.75" customHeight="1" x14ac:dyDescent="0.25">
      <c r="I538" s="84"/>
      <c r="J538" s="84"/>
      <c r="K538" s="84"/>
      <c r="N538" s="84"/>
      <c r="R538" s="84"/>
      <c r="S538" s="84"/>
      <c r="W538" s="84"/>
      <c r="Y538" s="84"/>
      <c r="AB538" s="84"/>
      <c r="AC538" s="84"/>
      <c r="AH538" s="84"/>
      <c r="AI538" s="84"/>
      <c r="AJ538" s="84"/>
      <c r="AK538" s="84"/>
    </row>
    <row r="539" spans="9:37" ht="12.75" customHeight="1" x14ac:dyDescent="0.25">
      <c r="I539" s="84"/>
      <c r="J539" s="84"/>
      <c r="K539" s="84"/>
      <c r="N539" s="84"/>
      <c r="R539" s="84"/>
      <c r="S539" s="84"/>
      <c r="W539" s="84"/>
      <c r="Y539" s="84"/>
      <c r="AB539" s="84"/>
      <c r="AC539" s="84"/>
      <c r="AH539" s="84"/>
      <c r="AI539" s="84"/>
      <c r="AJ539" s="84"/>
      <c r="AK539" s="84"/>
    </row>
    <row r="540" spans="9:37" ht="12.75" customHeight="1" x14ac:dyDescent="0.25">
      <c r="I540" s="84"/>
      <c r="J540" s="84"/>
      <c r="K540" s="84"/>
      <c r="N540" s="84"/>
      <c r="R540" s="84"/>
      <c r="S540" s="84"/>
      <c r="W540" s="84"/>
      <c r="Y540" s="84"/>
      <c r="AB540" s="84"/>
      <c r="AC540" s="84"/>
      <c r="AH540" s="84"/>
      <c r="AI540" s="84"/>
      <c r="AJ540" s="84"/>
      <c r="AK540" s="84"/>
    </row>
    <row r="541" spans="9:37" ht="12.75" customHeight="1" x14ac:dyDescent="0.25">
      <c r="I541" s="84"/>
      <c r="J541" s="84"/>
      <c r="K541" s="84"/>
      <c r="N541" s="84"/>
      <c r="R541" s="84"/>
      <c r="S541" s="84"/>
      <c r="W541" s="84"/>
      <c r="Y541" s="84"/>
      <c r="AB541" s="84"/>
      <c r="AC541" s="84"/>
      <c r="AH541" s="84"/>
      <c r="AI541" s="84"/>
      <c r="AJ541" s="84"/>
      <c r="AK541" s="84"/>
    </row>
    <row r="542" spans="9:37" ht="12.75" customHeight="1" x14ac:dyDescent="0.25">
      <c r="I542" s="84"/>
      <c r="J542" s="84"/>
      <c r="K542" s="84"/>
      <c r="N542" s="84"/>
      <c r="R542" s="84"/>
      <c r="S542" s="84"/>
      <c r="W542" s="84"/>
      <c r="Y542" s="84"/>
      <c r="AB542" s="84"/>
      <c r="AC542" s="84"/>
      <c r="AH542" s="84"/>
      <c r="AI542" s="84"/>
      <c r="AJ542" s="84"/>
      <c r="AK542" s="84"/>
    </row>
    <row r="543" spans="9:37" ht="12.75" customHeight="1" x14ac:dyDescent="0.25">
      <c r="I543" s="84"/>
      <c r="J543" s="84"/>
      <c r="K543" s="84"/>
      <c r="N543" s="84"/>
      <c r="R543" s="84"/>
      <c r="S543" s="84"/>
      <c r="W543" s="84"/>
      <c r="Y543" s="84"/>
      <c r="AB543" s="84"/>
      <c r="AC543" s="84"/>
      <c r="AH543" s="84"/>
      <c r="AI543" s="84"/>
      <c r="AJ543" s="84"/>
      <c r="AK543" s="84"/>
    </row>
    <row r="544" spans="9:37" ht="12.75" customHeight="1" x14ac:dyDescent="0.25">
      <c r="I544" s="84"/>
      <c r="J544" s="84"/>
      <c r="K544" s="84"/>
      <c r="N544" s="84"/>
      <c r="R544" s="84"/>
      <c r="S544" s="84"/>
      <c r="W544" s="84"/>
      <c r="Y544" s="84"/>
      <c r="AB544" s="84"/>
      <c r="AC544" s="84"/>
      <c r="AH544" s="84"/>
      <c r="AI544" s="84"/>
      <c r="AJ544" s="84"/>
      <c r="AK544" s="84"/>
    </row>
    <row r="545" spans="9:37" ht="12.75" customHeight="1" x14ac:dyDescent="0.25">
      <c r="I545" s="84"/>
      <c r="J545" s="84"/>
      <c r="K545" s="84"/>
      <c r="N545" s="84"/>
      <c r="R545" s="84"/>
      <c r="S545" s="84"/>
      <c r="W545" s="84"/>
      <c r="Y545" s="84"/>
      <c r="AB545" s="84"/>
      <c r="AC545" s="84"/>
      <c r="AH545" s="84"/>
      <c r="AI545" s="84"/>
      <c r="AJ545" s="84"/>
      <c r="AK545" s="84"/>
    </row>
    <row r="546" spans="9:37" ht="12.75" customHeight="1" x14ac:dyDescent="0.25">
      <c r="I546" s="84"/>
      <c r="J546" s="84"/>
      <c r="K546" s="84"/>
      <c r="N546" s="84"/>
      <c r="R546" s="84"/>
      <c r="S546" s="84"/>
      <c r="W546" s="84"/>
      <c r="Y546" s="84"/>
      <c r="AB546" s="84"/>
      <c r="AC546" s="84"/>
      <c r="AH546" s="84"/>
      <c r="AI546" s="84"/>
      <c r="AJ546" s="84"/>
      <c r="AK546" s="84"/>
    </row>
    <row r="547" spans="9:37" ht="12.75" customHeight="1" x14ac:dyDescent="0.25">
      <c r="I547" s="84"/>
      <c r="J547" s="84"/>
      <c r="K547" s="84"/>
      <c r="N547" s="84"/>
      <c r="R547" s="84"/>
      <c r="S547" s="84"/>
      <c r="W547" s="84"/>
      <c r="Y547" s="84"/>
      <c r="AB547" s="84"/>
      <c r="AC547" s="84"/>
      <c r="AH547" s="84"/>
      <c r="AI547" s="84"/>
      <c r="AJ547" s="84"/>
      <c r="AK547" s="84"/>
    </row>
    <row r="548" spans="9:37" ht="12.75" customHeight="1" x14ac:dyDescent="0.25">
      <c r="I548" s="84"/>
      <c r="J548" s="84"/>
      <c r="K548" s="84"/>
      <c r="N548" s="84"/>
      <c r="R548" s="84"/>
      <c r="S548" s="84"/>
      <c r="W548" s="84"/>
      <c r="Y548" s="84"/>
      <c r="AB548" s="84"/>
      <c r="AC548" s="84"/>
      <c r="AH548" s="84"/>
      <c r="AI548" s="84"/>
      <c r="AJ548" s="84"/>
      <c r="AK548" s="84"/>
    </row>
    <row r="549" spans="9:37" ht="12.75" customHeight="1" x14ac:dyDescent="0.25">
      <c r="I549" s="84"/>
      <c r="J549" s="84"/>
      <c r="K549" s="84"/>
      <c r="N549" s="84"/>
      <c r="R549" s="84"/>
      <c r="S549" s="84"/>
      <c r="W549" s="84"/>
      <c r="Y549" s="84"/>
      <c r="AB549" s="84"/>
      <c r="AC549" s="84"/>
      <c r="AH549" s="84"/>
      <c r="AI549" s="84"/>
      <c r="AJ549" s="84"/>
      <c r="AK549" s="84"/>
    </row>
    <row r="550" spans="9:37" ht="12.75" customHeight="1" x14ac:dyDescent="0.25">
      <c r="I550" s="84"/>
      <c r="J550" s="84"/>
      <c r="K550" s="84"/>
      <c r="N550" s="84"/>
      <c r="R550" s="84"/>
      <c r="S550" s="84"/>
      <c r="W550" s="84"/>
      <c r="Y550" s="84"/>
      <c r="AB550" s="84"/>
      <c r="AC550" s="84"/>
      <c r="AH550" s="84"/>
      <c r="AI550" s="84"/>
      <c r="AJ550" s="84"/>
      <c r="AK550" s="84"/>
    </row>
    <row r="551" spans="9:37" ht="12.75" customHeight="1" x14ac:dyDescent="0.25">
      <c r="I551" s="84"/>
      <c r="J551" s="84"/>
      <c r="K551" s="84"/>
      <c r="N551" s="84"/>
      <c r="R551" s="84"/>
      <c r="S551" s="84"/>
      <c r="W551" s="84"/>
      <c r="Y551" s="84"/>
      <c r="AB551" s="84"/>
      <c r="AC551" s="84"/>
      <c r="AH551" s="84"/>
      <c r="AI551" s="84"/>
      <c r="AJ551" s="84"/>
      <c r="AK551" s="84"/>
    </row>
    <row r="552" spans="9:37" ht="12.75" customHeight="1" x14ac:dyDescent="0.25">
      <c r="I552" s="84"/>
      <c r="J552" s="84"/>
      <c r="K552" s="84"/>
      <c r="N552" s="84"/>
      <c r="R552" s="84"/>
      <c r="S552" s="84"/>
      <c r="W552" s="84"/>
      <c r="Y552" s="84"/>
      <c r="AB552" s="84"/>
      <c r="AC552" s="84"/>
      <c r="AH552" s="84"/>
      <c r="AI552" s="84"/>
      <c r="AJ552" s="84"/>
      <c r="AK552" s="84"/>
    </row>
    <row r="553" spans="9:37" ht="12.75" customHeight="1" x14ac:dyDescent="0.25">
      <c r="I553" s="84"/>
      <c r="J553" s="84"/>
      <c r="K553" s="84"/>
      <c r="N553" s="84"/>
      <c r="R553" s="84"/>
      <c r="S553" s="84"/>
      <c r="W553" s="84"/>
      <c r="Y553" s="84"/>
      <c r="AB553" s="84"/>
      <c r="AC553" s="84"/>
      <c r="AH553" s="84"/>
      <c r="AI553" s="84"/>
      <c r="AJ553" s="84"/>
      <c r="AK553" s="84"/>
    </row>
    <row r="554" spans="9:37" ht="12.75" customHeight="1" x14ac:dyDescent="0.25">
      <c r="I554" s="84"/>
      <c r="J554" s="84"/>
      <c r="K554" s="84"/>
      <c r="N554" s="84"/>
      <c r="R554" s="84"/>
      <c r="S554" s="84"/>
      <c r="W554" s="84"/>
      <c r="Y554" s="84"/>
      <c r="AB554" s="84"/>
      <c r="AC554" s="84"/>
      <c r="AH554" s="84"/>
      <c r="AI554" s="84"/>
      <c r="AJ554" s="84"/>
      <c r="AK554" s="84"/>
    </row>
    <row r="555" spans="9:37" ht="12.75" customHeight="1" x14ac:dyDescent="0.25">
      <c r="I555" s="84"/>
      <c r="J555" s="84"/>
      <c r="K555" s="84"/>
      <c r="N555" s="84"/>
      <c r="R555" s="84"/>
      <c r="S555" s="84"/>
      <c r="W555" s="84"/>
      <c r="Y555" s="84"/>
      <c r="AB555" s="84"/>
      <c r="AC555" s="84"/>
      <c r="AH555" s="84"/>
      <c r="AI555" s="84"/>
      <c r="AJ555" s="84"/>
      <c r="AK555" s="84"/>
    </row>
    <row r="556" spans="9:37" ht="12.75" customHeight="1" x14ac:dyDescent="0.25">
      <c r="I556" s="84"/>
      <c r="J556" s="84"/>
      <c r="K556" s="84"/>
      <c r="N556" s="84"/>
      <c r="R556" s="84"/>
      <c r="S556" s="84"/>
      <c r="W556" s="84"/>
      <c r="Y556" s="84"/>
      <c r="AB556" s="84"/>
      <c r="AC556" s="84"/>
      <c r="AH556" s="84"/>
      <c r="AI556" s="84"/>
      <c r="AJ556" s="84"/>
      <c r="AK556" s="84"/>
    </row>
    <row r="557" spans="9:37" ht="12.75" customHeight="1" x14ac:dyDescent="0.25">
      <c r="I557" s="84"/>
      <c r="J557" s="84"/>
      <c r="K557" s="84"/>
      <c r="N557" s="84"/>
      <c r="R557" s="84"/>
      <c r="S557" s="84"/>
      <c r="W557" s="84"/>
      <c r="Y557" s="84"/>
      <c r="AB557" s="84"/>
      <c r="AC557" s="84"/>
      <c r="AH557" s="84"/>
      <c r="AI557" s="84"/>
      <c r="AJ557" s="84"/>
      <c r="AK557" s="84"/>
    </row>
    <row r="558" spans="9:37" ht="12.75" customHeight="1" x14ac:dyDescent="0.25">
      <c r="I558" s="84"/>
      <c r="J558" s="84"/>
      <c r="K558" s="84"/>
      <c r="N558" s="84"/>
      <c r="R558" s="84"/>
      <c r="S558" s="84"/>
      <c r="W558" s="84"/>
      <c r="Y558" s="84"/>
      <c r="AB558" s="84"/>
      <c r="AC558" s="84"/>
      <c r="AH558" s="84"/>
      <c r="AI558" s="84"/>
      <c r="AJ558" s="84"/>
      <c r="AK558" s="84"/>
    </row>
    <row r="559" spans="9:37" ht="12.75" customHeight="1" x14ac:dyDescent="0.25">
      <c r="I559" s="84"/>
      <c r="J559" s="84"/>
      <c r="K559" s="84"/>
      <c r="N559" s="84"/>
      <c r="R559" s="84"/>
      <c r="S559" s="84"/>
      <c r="W559" s="84"/>
      <c r="Y559" s="84"/>
      <c r="AB559" s="84"/>
      <c r="AC559" s="84"/>
      <c r="AH559" s="84"/>
      <c r="AI559" s="84"/>
      <c r="AJ559" s="84"/>
      <c r="AK559" s="84"/>
    </row>
    <row r="560" spans="9:37" ht="12.75" customHeight="1" x14ac:dyDescent="0.25">
      <c r="I560" s="84"/>
      <c r="J560" s="84"/>
      <c r="K560" s="84"/>
      <c r="N560" s="84"/>
      <c r="R560" s="84"/>
      <c r="S560" s="84"/>
      <c r="W560" s="84"/>
      <c r="Y560" s="84"/>
      <c r="AB560" s="84"/>
      <c r="AC560" s="84"/>
      <c r="AH560" s="84"/>
      <c r="AI560" s="84"/>
      <c r="AJ560" s="84"/>
      <c r="AK560" s="84"/>
    </row>
    <row r="561" spans="9:37" ht="12.75" customHeight="1" x14ac:dyDescent="0.25">
      <c r="I561" s="84"/>
      <c r="J561" s="84"/>
      <c r="K561" s="84"/>
      <c r="N561" s="84"/>
      <c r="R561" s="84"/>
      <c r="S561" s="84"/>
      <c r="W561" s="84"/>
      <c r="Y561" s="84"/>
      <c r="AB561" s="84"/>
      <c r="AC561" s="84"/>
      <c r="AH561" s="84"/>
      <c r="AI561" s="84"/>
      <c r="AJ561" s="84"/>
      <c r="AK561" s="84"/>
    </row>
    <row r="562" spans="9:37" ht="12.75" customHeight="1" x14ac:dyDescent="0.25">
      <c r="I562" s="84"/>
      <c r="J562" s="84"/>
      <c r="K562" s="84"/>
      <c r="N562" s="84"/>
      <c r="R562" s="84"/>
      <c r="S562" s="84"/>
      <c r="W562" s="84"/>
      <c r="Y562" s="84"/>
      <c r="AB562" s="84"/>
      <c r="AC562" s="84"/>
      <c r="AH562" s="84"/>
      <c r="AI562" s="84"/>
      <c r="AJ562" s="84"/>
      <c r="AK562" s="84"/>
    </row>
    <row r="563" spans="9:37" ht="12.75" customHeight="1" x14ac:dyDescent="0.25">
      <c r="I563" s="84"/>
      <c r="J563" s="84"/>
      <c r="K563" s="84"/>
      <c r="N563" s="84"/>
      <c r="R563" s="84"/>
      <c r="S563" s="84"/>
      <c r="W563" s="84"/>
      <c r="Y563" s="84"/>
      <c r="AB563" s="84"/>
      <c r="AC563" s="84"/>
      <c r="AH563" s="84"/>
      <c r="AI563" s="84"/>
      <c r="AJ563" s="84"/>
      <c r="AK563" s="84"/>
    </row>
    <row r="564" spans="9:37" ht="12.75" customHeight="1" x14ac:dyDescent="0.25">
      <c r="I564" s="84"/>
      <c r="J564" s="84"/>
      <c r="K564" s="84"/>
      <c r="N564" s="84"/>
      <c r="R564" s="84"/>
      <c r="S564" s="84"/>
      <c r="W564" s="84"/>
      <c r="Y564" s="84"/>
      <c r="AB564" s="84"/>
      <c r="AC564" s="84"/>
      <c r="AH564" s="84"/>
      <c r="AI564" s="84"/>
      <c r="AJ564" s="84"/>
      <c r="AK564" s="84"/>
    </row>
    <row r="565" spans="9:37" ht="12.75" customHeight="1" x14ac:dyDescent="0.25">
      <c r="I565" s="84"/>
      <c r="J565" s="84"/>
      <c r="K565" s="84"/>
      <c r="N565" s="84"/>
      <c r="R565" s="84"/>
      <c r="S565" s="84"/>
      <c r="W565" s="84"/>
      <c r="Y565" s="84"/>
      <c r="AB565" s="84"/>
      <c r="AC565" s="84"/>
      <c r="AH565" s="84"/>
      <c r="AI565" s="84"/>
      <c r="AJ565" s="84"/>
      <c r="AK565" s="84"/>
    </row>
    <row r="566" spans="9:37" ht="12.75" customHeight="1" x14ac:dyDescent="0.25">
      <c r="I566" s="84"/>
      <c r="J566" s="84"/>
      <c r="K566" s="84"/>
      <c r="N566" s="84"/>
      <c r="R566" s="84"/>
      <c r="S566" s="84"/>
      <c r="W566" s="84"/>
      <c r="Y566" s="84"/>
      <c r="AB566" s="84"/>
      <c r="AC566" s="84"/>
      <c r="AH566" s="84"/>
      <c r="AI566" s="84"/>
      <c r="AJ566" s="84"/>
      <c r="AK566" s="84"/>
    </row>
    <row r="567" spans="9:37" ht="12.75" customHeight="1" x14ac:dyDescent="0.25">
      <c r="I567" s="84"/>
      <c r="J567" s="84"/>
      <c r="K567" s="84"/>
      <c r="N567" s="84"/>
      <c r="R567" s="84"/>
      <c r="S567" s="84"/>
      <c r="W567" s="84"/>
      <c r="Y567" s="84"/>
      <c r="AB567" s="84"/>
      <c r="AC567" s="84"/>
      <c r="AH567" s="84"/>
      <c r="AI567" s="84"/>
      <c r="AJ567" s="84"/>
      <c r="AK567" s="84"/>
    </row>
    <row r="568" spans="9:37" ht="12.75" customHeight="1" x14ac:dyDescent="0.25">
      <c r="I568" s="84"/>
      <c r="J568" s="84"/>
      <c r="K568" s="84"/>
      <c r="N568" s="84"/>
      <c r="R568" s="84"/>
      <c r="S568" s="84"/>
      <c r="W568" s="84"/>
      <c r="Y568" s="84"/>
      <c r="AB568" s="84"/>
      <c r="AC568" s="84"/>
      <c r="AH568" s="84"/>
      <c r="AI568" s="84"/>
      <c r="AJ568" s="84"/>
      <c r="AK568" s="84"/>
    </row>
    <row r="569" spans="9:37" ht="12.75" customHeight="1" x14ac:dyDescent="0.25">
      <c r="I569" s="84"/>
      <c r="J569" s="84"/>
      <c r="K569" s="84"/>
      <c r="N569" s="84"/>
      <c r="R569" s="84"/>
      <c r="S569" s="84"/>
      <c r="W569" s="84"/>
      <c r="Y569" s="84"/>
      <c r="AB569" s="84"/>
      <c r="AC569" s="84"/>
      <c r="AH569" s="84"/>
      <c r="AI569" s="84"/>
      <c r="AJ569" s="84"/>
      <c r="AK569" s="84"/>
    </row>
    <row r="570" spans="9:37" ht="12.75" customHeight="1" x14ac:dyDescent="0.25">
      <c r="I570" s="84"/>
      <c r="J570" s="84"/>
      <c r="K570" s="84"/>
      <c r="N570" s="84"/>
      <c r="R570" s="84"/>
      <c r="S570" s="84"/>
      <c r="W570" s="84"/>
      <c r="Y570" s="84"/>
      <c r="AB570" s="84"/>
      <c r="AC570" s="84"/>
      <c r="AH570" s="84"/>
      <c r="AI570" s="84"/>
      <c r="AJ570" s="84"/>
      <c r="AK570" s="84"/>
    </row>
    <row r="571" spans="9:37" ht="12.75" customHeight="1" x14ac:dyDescent="0.25">
      <c r="I571" s="84"/>
      <c r="J571" s="84"/>
      <c r="K571" s="84"/>
      <c r="N571" s="84"/>
      <c r="R571" s="84"/>
      <c r="S571" s="84"/>
      <c r="W571" s="84"/>
      <c r="Y571" s="84"/>
      <c r="AB571" s="84"/>
      <c r="AC571" s="84"/>
      <c r="AH571" s="84"/>
      <c r="AI571" s="84"/>
      <c r="AJ571" s="84"/>
      <c r="AK571" s="84"/>
    </row>
    <row r="572" spans="9:37" ht="12.75" customHeight="1" x14ac:dyDescent="0.25">
      <c r="I572" s="84"/>
      <c r="J572" s="84"/>
      <c r="K572" s="84"/>
      <c r="N572" s="84"/>
      <c r="R572" s="84"/>
      <c r="S572" s="84"/>
      <c r="W572" s="84"/>
      <c r="Y572" s="84"/>
      <c r="AB572" s="84"/>
      <c r="AC572" s="84"/>
      <c r="AH572" s="84"/>
      <c r="AI572" s="84"/>
      <c r="AJ572" s="84"/>
      <c r="AK572" s="84"/>
    </row>
    <row r="573" spans="9:37" ht="12.75" customHeight="1" x14ac:dyDescent="0.25">
      <c r="I573" s="84"/>
      <c r="J573" s="84"/>
      <c r="K573" s="84"/>
      <c r="N573" s="84"/>
      <c r="R573" s="84"/>
      <c r="S573" s="84"/>
      <c r="W573" s="84"/>
      <c r="Y573" s="84"/>
      <c r="AB573" s="84"/>
      <c r="AC573" s="84"/>
      <c r="AH573" s="84"/>
      <c r="AI573" s="84"/>
      <c r="AJ573" s="84"/>
      <c r="AK573" s="84"/>
    </row>
    <row r="574" spans="9:37" ht="12.75" customHeight="1" x14ac:dyDescent="0.25">
      <c r="I574" s="84"/>
      <c r="J574" s="84"/>
      <c r="K574" s="84"/>
      <c r="N574" s="84"/>
      <c r="R574" s="84"/>
      <c r="S574" s="84"/>
      <c r="W574" s="84"/>
      <c r="Y574" s="84"/>
      <c r="AB574" s="84"/>
      <c r="AC574" s="84"/>
      <c r="AH574" s="84"/>
      <c r="AI574" s="84"/>
      <c r="AJ574" s="84"/>
      <c r="AK574" s="84"/>
    </row>
    <row r="575" spans="9:37" ht="12.75" customHeight="1" x14ac:dyDescent="0.25">
      <c r="I575" s="84"/>
      <c r="J575" s="84"/>
      <c r="K575" s="84"/>
      <c r="N575" s="84"/>
      <c r="R575" s="84"/>
      <c r="S575" s="84"/>
      <c r="W575" s="84"/>
      <c r="Y575" s="84"/>
      <c r="AB575" s="84"/>
      <c r="AC575" s="84"/>
      <c r="AH575" s="84"/>
      <c r="AI575" s="84"/>
      <c r="AJ575" s="84"/>
      <c r="AK575" s="84"/>
    </row>
    <row r="576" spans="9:37" ht="12.75" customHeight="1" x14ac:dyDescent="0.25">
      <c r="I576" s="84"/>
      <c r="J576" s="84"/>
      <c r="K576" s="84"/>
      <c r="N576" s="84"/>
      <c r="R576" s="84"/>
      <c r="S576" s="84"/>
      <c r="W576" s="84"/>
      <c r="Y576" s="84"/>
      <c r="AB576" s="84"/>
      <c r="AC576" s="84"/>
      <c r="AH576" s="84"/>
      <c r="AI576" s="84"/>
      <c r="AJ576" s="84"/>
      <c r="AK576" s="84"/>
    </row>
    <row r="577" spans="9:37" ht="12.75" customHeight="1" x14ac:dyDescent="0.25">
      <c r="I577" s="84"/>
      <c r="J577" s="84"/>
      <c r="K577" s="84"/>
      <c r="N577" s="84"/>
      <c r="R577" s="84"/>
      <c r="S577" s="84"/>
      <c r="W577" s="84"/>
      <c r="Y577" s="84"/>
      <c r="AB577" s="84"/>
      <c r="AC577" s="84"/>
      <c r="AH577" s="84"/>
      <c r="AI577" s="84"/>
      <c r="AJ577" s="84"/>
      <c r="AK577" s="84"/>
    </row>
    <row r="578" spans="9:37" ht="12.75" customHeight="1" x14ac:dyDescent="0.25">
      <c r="I578" s="84"/>
      <c r="J578" s="84"/>
      <c r="K578" s="84"/>
      <c r="N578" s="84"/>
      <c r="R578" s="84"/>
      <c r="S578" s="84"/>
      <c r="W578" s="84"/>
      <c r="Y578" s="84"/>
      <c r="AB578" s="84"/>
      <c r="AC578" s="84"/>
      <c r="AH578" s="84"/>
      <c r="AI578" s="84"/>
      <c r="AJ578" s="84"/>
      <c r="AK578" s="84"/>
    </row>
    <row r="579" spans="9:37" ht="12.75" customHeight="1" x14ac:dyDescent="0.25">
      <c r="I579" s="84"/>
      <c r="J579" s="84"/>
      <c r="K579" s="84"/>
      <c r="N579" s="84"/>
      <c r="R579" s="84"/>
      <c r="S579" s="84"/>
      <c r="W579" s="84"/>
      <c r="Y579" s="84"/>
      <c r="AB579" s="84"/>
      <c r="AC579" s="84"/>
      <c r="AH579" s="84"/>
      <c r="AI579" s="84"/>
      <c r="AJ579" s="84"/>
      <c r="AK579" s="84"/>
    </row>
    <row r="580" spans="9:37" ht="12.75" customHeight="1" x14ac:dyDescent="0.25">
      <c r="I580" s="84"/>
      <c r="J580" s="84"/>
      <c r="K580" s="84"/>
      <c r="N580" s="84"/>
      <c r="R580" s="84"/>
      <c r="S580" s="84"/>
      <c r="W580" s="84"/>
      <c r="Y580" s="84"/>
      <c r="AB580" s="84"/>
      <c r="AC580" s="84"/>
      <c r="AH580" s="84"/>
      <c r="AI580" s="84"/>
      <c r="AJ580" s="84"/>
      <c r="AK580" s="84"/>
    </row>
    <row r="581" spans="9:37" ht="12.75" customHeight="1" x14ac:dyDescent="0.25">
      <c r="I581" s="84"/>
      <c r="J581" s="84"/>
      <c r="K581" s="84"/>
      <c r="N581" s="84"/>
      <c r="R581" s="84"/>
      <c r="S581" s="84"/>
      <c r="W581" s="84"/>
      <c r="Y581" s="84"/>
      <c r="AB581" s="84"/>
      <c r="AC581" s="84"/>
      <c r="AH581" s="84"/>
      <c r="AI581" s="84"/>
      <c r="AJ581" s="84"/>
      <c r="AK581" s="84"/>
    </row>
    <row r="582" spans="9:37" ht="12.75" customHeight="1" x14ac:dyDescent="0.25">
      <c r="I582" s="84"/>
      <c r="J582" s="84"/>
      <c r="K582" s="84"/>
      <c r="N582" s="84"/>
      <c r="R582" s="84"/>
      <c r="S582" s="84"/>
      <c r="W582" s="84"/>
      <c r="Y582" s="84"/>
      <c r="AB582" s="84"/>
      <c r="AC582" s="84"/>
      <c r="AH582" s="84"/>
      <c r="AI582" s="84"/>
      <c r="AJ582" s="84"/>
      <c r="AK582" s="84"/>
    </row>
    <row r="583" spans="9:37" ht="12.75" customHeight="1" x14ac:dyDescent="0.25">
      <c r="I583" s="84"/>
      <c r="J583" s="84"/>
      <c r="K583" s="84"/>
      <c r="N583" s="84"/>
      <c r="R583" s="84"/>
      <c r="S583" s="84"/>
      <c r="W583" s="84"/>
      <c r="Y583" s="84"/>
      <c r="AB583" s="84"/>
      <c r="AC583" s="84"/>
      <c r="AH583" s="84"/>
      <c r="AI583" s="84"/>
      <c r="AJ583" s="84"/>
      <c r="AK583" s="84"/>
    </row>
    <row r="584" spans="9:37" ht="12.75" customHeight="1" x14ac:dyDescent="0.25">
      <c r="I584" s="84"/>
      <c r="J584" s="84"/>
      <c r="K584" s="84"/>
      <c r="N584" s="84"/>
      <c r="R584" s="84"/>
      <c r="S584" s="84"/>
      <c r="W584" s="84"/>
      <c r="Y584" s="84"/>
      <c r="AB584" s="84"/>
      <c r="AC584" s="84"/>
      <c r="AH584" s="84"/>
      <c r="AI584" s="84"/>
      <c r="AJ584" s="84"/>
      <c r="AK584" s="84"/>
    </row>
    <row r="585" spans="9:37" ht="12.75" customHeight="1" x14ac:dyDescent="0.25">
      <c r="I585" s="84"/>
      <c r="J585" s="84"/>
      <c r="K585" s="84"/>
      <c r="N585" s="84"/>
      <c r="R585" s="84"/>
      <c r="S585" s="84"/>
      <c r="W585" s="84"/>
      <c r="Y585" s="84"/>
      <c r="AB585" s="84"/>
      <c r="AC585" s="84"/>
      <c r="AH585" s="84"/>
      <c r="AI585" s="84"/>
      <c r="AJ585" s="84"/>
      <c r="AK585" s="84"/>
    </row>
    <row r="586" spans="9:37" ht="12.75" customHeight="1" x14ac:dyDescent="0.25">
      <c r="I586" s="84"/>
      <c r="J586" s="84"/>
      <c r="K586" s="84"/>
      <c r="N586" s="84"/>
      <c r="R586" s="84"/>
      <c r="S586" s="84"/>
      <c r="W586" s="84"/>
      <c r="Y586" s="84"/>
      <c r="AB586" s="84"/>
      <c r="AC586" s="84"/>
      <c r="AH586" s="84"/>
      <c r="AI586" s="84"/>
      <c r="AJ586" s="84"/>
      <c r="AK586" s="84"/>
    </row>
    <row r="587" spans="9:37" ht="12.75" customHeight="1" x14ac:dyDescent="0.25">
      <c r="I587" s="84"/>
      <c r="J587" s="84"/>
      <c r="K587" s="84"/>
      <c r="N587" s="84"/>
      <c r="R587" s="84"/>
      <c r="S587" s="84"/>
      <c r="W587" s="84"/>
      <c r="Y587" s="84"/>
      <c r="AB587" s="84"/>
      <c r="AC587" s="84"/>
      <c r="AH587" s="84"/>
      <c r="AI587" s="84"/>
      <c r="AJ587" s="84"/>
      <c r="AK587" s="84"/>
    </row>
    <row r="588" spans="9:37" ht="12.75" customHeight="1" x14ac:dyDescent="0.25">
      <c r="I588" s="84"/>
      <c r="J588" s="84"/>
      <c r="K588" s="84"/>
      <c r="N588" s="84"/>
      <c r="R588" s="84"/>
      <c r="S588" s="84"/>
      <c r="W588" s="84"/>
      <c r="Y588" s="84"/>
      <c r="AB588" s="84"/>
      <c r="AC588" s="84"/>
      <c r="AH588" s="84"/>
      <c r="AI588" s="84"/>
      <c r="AJ588" s="84"/>
      <c r="AK588" s="84"/>
    </row>
    <row r="589" spans="9:37" ht="12.75" customHeight="1" x14ac:dyDescent="0.25">
      <c r="I589" s="84"/>
      <c r="J589" s="84"/>
      <c r="K589" s="84"/>
      <c r="N589" s="84"/>
      <c r="R589" s="84"/>
      <c r="S589" s="84"/>
      <c r="W589" s="84"/>
      <c r="Y589" s="84"/>
      <c r="AB589" s="84"/>
      <c r="AC589" s="84"/>
      <c r="AH589" s="84"/>
      <c r="AI589" s="84"/>
      <c r="AJ589" s="84"/>
      <c r="AK589" s="84"/>
    </row>
    <row r="590" spans="9:37" ht="12.75" customHeight="1" x14ac:dyDescent="0.25">
      <c r="I590" s="84"/>
      <c r="J590" s="84"/>
      <c r="K590" s="84"/>
      <c r="N590" s="84"/>
      <c r="R590" s="84"/>
      <c r="S590" s="84"/>
      <c r="W590" s="84"/>
      <c r="Y590" s="84"/>
      <c r="AB590" s="84"/>
      <c r="AC590" s="84"/>
      <c r="AH590" s="84"/>
      <c r="AI590" s="84"/>
      <c r="AJ590" s="84"/>
      <c r="AK590" s="84"/>
    </row>
    <row r="591" spans="9:37" ht="12.75" customHeight="1" x14ac:dyDescent="0.25">
      <c r="I591" s="84"/>
      <c r="J591" s="84"/>
      <c r="K591" s="84"/>
      <c r="N591" s="84"/>
      <c r="R591" s="84"/>
      <c r="S591" s="84"/>
      <c r="W591" s="84"/>
      <c r="Y591" s="84"/>
      <c r="AB591" s="84"/>
      <c r="AC591" s="84"/>
      <c r="AH591" s="84"/>
      <c r="AI591" s="84"/>
      <c r="AJ591" s="84"/>
      <c r="AK591" s="84"/>
    </row>
    <row r="592" spans="9:37" ht="12.75" customHeight="1" x14ac:dyDescent="0.25">
      <c r="I592" s="84"/>
      <c r="J592" s="84"/>
      <c r="K592" s="84"/>
      <c r="N592" s="84"/>
      <c r="R592" s="84"/>
      <c r="S592" s="84"/>
      <c r="W592" s="84"/>
      <c r="Y592" s="84"/>
      <c r="AB592" s="84"/>
      <c r="AC592" s="84"/>
      <c r="AH592" s="84"/>
      <c r="AI592" s="84"/>
      <c r="AJ592" s="84"/>
      <c r="AK592" s="84"/>
    </row>
    <row r="593" spans="9:37" ht="12.75" customHeight="1" x14ac:dyDescent="0.25">
      <c r="I593" s="84"/>
      <c r="J593" s="84"/>
      <c r="K593" s="84"/>
      <c r="N593" s="84"/>
      <c r="R593" s="84"/>
      <c r="S593" s="84"/>
      <c r="W593" s="84"/>
      <c r="Y593" s="84"/>
      <c r="AB593" s="84"/>
      <c r="AC593" s="84"/>
      <c r="AH593" s="84"/>
      <c r="AI593" s="84"/>
      <c r="AJ593" s="84"/>
      <c r="AK593" s="84"/>
    </row>
    <row r="594" spans="9:37" ht="12.75" customHeight="1" x14ac:dyDescent="0.25">
      <c r="I594" s="84"/>
      <c r="J594" s="84"/>
      <c r="K594" s="84"/>
      <c r="N594" s="84"/>
      <c r="R594" s="84"/>
      <c r="S594" s="84"/>
      <c r="W594" s="84"/>
      <c r="Y594" s="84"/>
      <c r="AB594" s="84"/>
      <c r="AC594" s="84"/>
      <c r="AH594" s="84"/>
      <c r="AI594" s="84"/>
      <c r="AJ594" s="84"/>
      <c r="AK594" s="84"/>
    </row>
    <row r="595" spans="9:37" ht="12.75" customHeight="1" x14ac:dyDescent="0.25">
      <c r="I595" s="84"/>
      <c r="J595" s="84"/>
      <c r="K595" s="84"/>
      <c r="N595" s="84"/>
      <c r="R595" s="84"/>
      <c r="S595" s="84"/>
      <c r="W595" s="84"/>
      <c r="Y595" s="84"/>
      <c r="AB595" s="84"/>
      <c r="AC595" s="84"/>
      <c r="AH595" s="84"/>
      <c r="AI595" s="84"/>
      <c r="AJ595" s="84"/>
      <c r="AK595" s="84"/>
    </row>
    <row r="596" spans="9:37" ht="12.75" customHeight="1" x14ac:dyDescent="0.25">
      <c r="I596" s="84"/>
      <c r="J596" s="84"/>
      <c r="K596" s="84"/>
      <c r="N596" s="84"/>
      <c r="R596" s="84"/>
      <c r="S596" s="84"/>
      <c r="W596" s="84"/>
      <c r="Y596" s="84"/>
      <c r="AB596" s="84"/>
      <c r="AC596" s="84"/>
      <c r="AH596" s="84"/>
      <c r="AI596" s="84"/>
      <c r="AJ596" s="84"/>
      <c r="AK596" s="84"/>
    </row>
    <row r="597" spans="9:37" ht="12.75" customHeight="1" x14ac:dyDescent="0.25">
      <c r="I597" s="84"/>
      <c r="J597" s="84"/>
      <c r="K597" s="84"/>
      <c r="N597" s="84"/>
      <c r="R597" s="84"/>
      <c r="S597" s="84"/>
      <c r="W597" s="84"/>
      <c r="Y597" s="84"/>
      <c r="AB597" s="84"/>
      <c r="AC597" s="84"/>
      <c r="AH597" s="84"/>
      <c r="AI597" s="84"/>
      <c r="AJ597" s="84"/>
      <c r="AK597" s="84"/>
    </row>
    <row r="598" spans="9:37" ht="12.75" customHeight="1" x14ac:dyDescent="0.25">
      <c r="I598" s="84"/>
      <c r="J598" s="84"/>
      <c r="K598" s="84"/>
      <c r="N598" s="84"/>
      <c r="R598" s="84"/>
      <c r="S598" s="84"/>
      <c r="W598" s="84"/>
      <c r="Y598" s="84"/>
      <c r="AB598" s="84"/>
      <c r="AC598" s="84"/>
      <c r="AH598" s="84"/>
      <c r="AI598" s="84"/>
      <c r="AJ598" s="84"/>
      <c r="AK598" s="84"/>
    </row>
    <row r="599" spans="9:37" ht="12.75" customHeight="1" x14ac:dyDescent="0.25">
      <c r="I599" s="84"/>
      <c r="J599" s="84"/>
      <c r="K599" s="84"/>
      <c r="N599" s="84"/>
      <c r="R599" s="84"/>
      <c r="S599" s="84"/>
      <c r="W599" s="84"/>
      <c r="Y599" s="84"/>
      <c r="AB599" s="84"/>
      <c r="AC599" s="84"/>
      <c r="AH599" s="84"/>
      <c r="AI599" s="84"/>
      <c r="AJ599" s="84"/>
      <c r="AK599" s="84"/>
    </row>
    <row r="600" spans="9:37" ht="12.75" customHeight="1" x14ac:dyDescent="0.25">
      <c r="I600" s="84"/>
      <c r="J600" s="84"/>
      <c r="K600" s="84"/>
      <c r="N600" s="84"/>
      <c r="R600" s="84"/>
      <c r="S600" s="84"/>
      <c r="W600" s="84"/>
      <c r="Y600" s="84"/>
      <c r="AB600" s="84"/>
      <c r="AC600" s="84"/>
      <c r="AH600" s="84"/>
      <c r="AI600" s="84"/>
      <c r="AJ600" s="84"/>
      <c r="AK600" s="84"/>
    </row>
    <row r="601" spans="9:37" ht="12.75" customHeight="1" x14ac:dyDescent="0.25">
      <c r="I601" s="84"/>
      <c r="J601" s="84"/>
      <c r="K601" s="84"/>
      <c r="N601" s="84"/>
      <c r="R601" s="84"/>
      <c r="S601" s="84"/>
      <c r="W601" s="84"/>
      <c r="Y601" s="84"/>
      <c r="AB601" s="84"/>
      <c r="AC601" s="84"/>
      <c r="AH601" s="84"/>
      <c r="AI601" s="84"/>
      <c r="AJ601" s="84"/>
      <c r="AK601" s="84"/>
    </row>
    <row r="602" spans="9:37" ht="12.75" customHeight="1" x14ac:dyDescent="0.25">
      <c r="I602" s="84"/>
      <c r="J602" s="84"/>
      <c r="K602" s="84"/>
      <c r="N602" s="84"/>
      <c r="R602" s="84"/>
      <c r="S602" s="84"/>
      <c r="W602" s="84"/>
      <c r="Y602" s="84"/>
      <c r="AB602" s="84"/>
      <c r="AC602" s="84"/>
      <c r="AH602" s="84"/>
      <c r="AI602" s="84"/>
      <c r="AJ602" s="84"/>
      <c r="AK602" s="84"/>
    </row>
    <row r="603" spans="9:37" ht="12.75" customHeight="1" x14ac:dyDescent="0.25">
      <c r="I603" s="84"/>
      <c r="J603" s="84"/>
      <c r="K603" s="84"/>
      <c r="N603" s="84"/>
      <c r="R603" s="84"/>
      <c r="S603" s="84"/>
      <c r="W603" s="84"/>
      <c r="Y603" s="84"/>
      <c r="AB603" s="84"/>
      <c r="AC603" s="84"/>
      <c r="AH603" s="84"/>
      <c r="AI603" s="84"/>
      <c r="AJ603" s="84"/>
      <c r="AK603" s="84"/>
    </row>
    <row r="604" spans="9:37" ht="12.75" customHeight="1" x14ac:dyDescent="0.25">
      <c r="I604" s="84"/>
      <c r="J604" s="84"/>
      <c r="K604" s="84"/>
      <c r="N604" s="84"/>
      <c r="R604" s="84"/>
      <c r="S604" s="84"/>
      <c r="W604" s="84"/>
      <c r="Y604" s="84"/>
      <c r="AB604" s="84"/>
      <c r="AC604" s="84"/>
      <c r="AH604" s="84"/>
      <c r="AI604" s="84"/>
      <c r="AJ604" s="84"/>
      <c r="AK604" s="84"/>
    </row>
    <row r="605" spans="9:37" ht="12.75" customHeight="1" x14ac:dyDescent="0.25">
      <c r="I605" s="84"/>
      <c r="J605" s="84"/>
      <c r="K605" s="84"/>
      <c r="N605" s="84"/>
      <c r="R605" s="84"/>
      <c r="S605" s="84"/>
      <c r="W605" s="84"/>
      <c r="Y605" s="84"/>
      <c r="AB605" s="84"/>
      <c r="AC605" s="84"/>
      <c r="AH605" s="84"/>
      <c r="AI605" s="84"/>
      <c r="AJ605" s="84"/>
      <c r="AK605" s="84"/>
    </row>
    <row r="606" spans="9:37" ht="12.75" customHeight="1" x14ac:dyDescent="0.25">
      <c r="I606" s="84"/>
      <c r="J606" s="84"/>
      <c r="K606" s="84"/>
      <c r="N606" s="84"/>
      <c r="R606" s="84"/>
      <c r="S606" s="84"/>
      <c r="W606" s="84"/>
      <c r="Y606" s="84"/>
      <c r="AB606" s="84"/>
      <c r="AC606" s="84"/>
      <c r="AH606" s="84"/>
      <c r="AI606" s="84"/>
      <c r="AJ606" s="84"/>
      <c r="AK606" s="84"/>
    </row>
    <row r="607" spans="9:37" ht="12.75" customHeight="1" x14ac:dyDescent="0.25">
      <c r="I607" s="84"/>
      <c r="J607" s="84"/>
      <c r="K607" s="84"/>
      <c r="N607" s="84"/>
      <c r="R607" s="84"/>
      <c r="S607" s="84"/>
      <c r="W607" s="84"/>
      <c r="Y607" s="84"/>
      <c r="AB607" s="84"/>
      <c r="AC607" s="84"/>
      <c r="AH607" s="84"/>
      <c r="AI607" s="84"/>
      <c r="AJ607" s="84"/>
      <c r="AK607" s="84"/>
    </row>
    <row r="608" spans="9:37" ht="12.75" customHeight="1" x14ac:dyDescent="0.25">
      <c r="I608" s="84"/>
      <c r="J608" s="84"/>
      <c r="K608" s="84"/>
      <c r="N608" s="84"/>
      <c r="R608" s="84"/>
      <c r="S608" s="84"/>
      <c r="W608" s="84"/>
      <c r="Y608" s="84"/>
      <c r="AB608" s="84"/>
      <c r="AC608" s="84"/>
      <c r="AH608" s="84"/>
      <c r="AI608" s="84"/>
      <c r="AJ608" s="84"/>
      <c r="AK608" s="84"/>
    </row>
    <row r="609" spans="9:37" ht="12.75" customHeight="1" x14ac:dyDescent="0.25">
      <c r="I609" s="84"/>
      <c r="J609" s="84"/>
      <c r="K609" s="84"/>
      <c r="N609" s="84"/>
      <c r="R609" s="84"/>
      <c r="S609" s="84"/>
      <c r="W609" s="84"/>
      <c r="Y609" s="84"/>
      <c r="AB609" s="84"/>
      <c r="AC609" s="84"/>
      <c r="AH609" s="84"/>
      <c r="AI609" s="84"/>
      <c r="AJ609" s="84"/>
      <c r="AK609" s="84"/>
    </row>
    <row r="610" spans="9:37" ht="12.75" customHeight="1" x14ac:dyDescent="0.25">
      <c r="I610" s="84"/>
      <c r="J610" s="84"/>
      <c r="K610" s="84"/>
      <c r="N610" s="84"/>
      <c r="R610" s="84"/>
      <c r="S610" s="84"/>
      <c r="W610" s="84"/>
      <c r="Y610" s="84"/>
      <c r="AB610" s="84"/>
      <c r="AC610" s="84"/>
      <c r="AH610" s="84"/>
      <c r="AI610" s="84"/>
      <c r="AJ610" s="84"/>
      <c r="AK610" s="84"/>
    </row>
    <row r="611" spans="9:37" ht="12.75" customHeight="1" x14ac:dyDescent="0.25">
      <c r="I611" s="84"/>
      <c r="J611" s="84"/>
      <c r="K611" s="84"/>
      <c r="N611" s="84"/>
      <c r="R611" s="84"/>
      <c r="S611" s="84"/>
      <c r="W611" s="84"/>
      <c r="Y611" s="84"/>
      <c r="AB611" s="84"/>
      <c r="AC611" s="84"/>
      <c r="AH611" s="84"/>
      <c r="AI611" s="84"/>
      <c r="AJ611" s="84"/>
      <c r="AK611" s="84"/>
    </row>
    <row r="612" spans="9:37" ht="12.75" customHeight="1" x14ac:dyDescent="0.25">
      <c r="I612" s="84"/>
      <c r="J612" s="84"/>
      <c r="K612" s="84"/>
      <c r="N612" s="84"/>
      <c r="R612" s="84"/>
      <c r="S612" s="84"/>
      <c r="W612" s="84"/>
      <c r="Y612" s="84"/>
      <c r="AB612" s="84"/>
      <c r="AC612" s="84"/>
      <c r="AH612" s="84"/>
      <c r="AI612" s="84"/>
      <c r="AJ612" s="84"/>
      <c r="AK612" s="84"/>
    </row>
    <row r="613" spans="9:37" ht="12.75" customHeight="1" x14ac:dyDescent="0.25">
      <c r="I613" s="84"/>
      <c r="J613" s="84"/>
      <c r="K613" s="84"/>
      <c r="N613" s="84"/>
      <c r="R613" s="84"/>
      <c r="S613" s="84"/>
      <c r="W613" s="84"/>
      <c r="Y613" s="84"/>
      <c r="AB613" s="84"/>
      <c r="AC613" s="84"/>
      <c r="AH613" s="84"/>
      <c r="AI613" s="84"/>
      <c r="AJ613" s="84"/>
      <c r="AK613" s="84"/>
    </row>
    <row r="614" spans="9:37" ht="12.75" customHeight="1" x14ac:dyDescent="0.25">
      <c r="I614" s="84"/>
      <c r="J614" s="84"/>
      <c r="K614" s="84"/>
      <c r="N614" s="84"/>
      <c r="R614" s="84"/>
      <c r="S614" s="84"/>
      <c r="W614" s="84"/>
      <c r="Y614" s="84"/>
      <c r="AB614" s="84"/>
      <c r="AC614" s="84"/>
      <c r="AH614" s="84"/>
      <c r="AI614" s="84"/>
      <c r="AJ614" s="84"/>
      <c r="AK614" s="84"/>
    </row>
    <row r="615" spans="9:37" ht="12.75" customHeight="1" x14ac:dyDescent="0.25">
      <c r="I615" s="84"/>
      <c r="J615" s="84"/>
      <c r="K615" s="84"/>
      <c r="N615" s="84"/>
      <c r="R615" s="84"/>
      <c r="S615" s="84"/>
      <c r="W615" s="84"/>
      <c r="Y615" s="84"/>
      <c r="AB615" s="84"/>
      <c r="AC615" s="84"/>
      <c r="AH615" s="84"/>
      <c r="AI615" s="84"/>
      <c r="AJ615" s="84"/>
      <c r="AK615" s="84"/>
    </row>
    <row r="616" spans="9:37" ht="12.75" customHeight="1" x14ac:dyDescent="0.25">
      <c r="I616" s="84"/>
      <c r="J616" s="84"/>
      <c r="K616" s="84"/>
      <c r="N616" s="84"/>
      <c r="R616" s="84"/>
      <c r="S616" s="84"/>
      <c r="W616" s="84"/>
      <c r="Y616" s="84"/>
      <c r="AB616" s="84"/>
      <c r="AC616" s="84"/>
      <c r="AH616" s="84"/>
      <c r="AI616" s="84"/>
      <c r="AJ616" s="84"/>
      <c r="AK616" s="84"/>
    </row>
    <row r="617" spans="9:37" ht="12.75" customHeight="1" x14ac:dyDescent="0.25">
      <c r="I617" s="84"/>
      <c r="J617" s="84"/>
      <c r="K617" s="84"/>
      <c r="N617" s="84"/>
      <c r="R617" s="84"/>
      <c r="S617" s="84"/>
      <c r="W617" s="84"/>
      <c r="Y617" s="84"/>
      <c r="AB617" s="84"/>
      <c r="AC617" s="84"/>
      <c r="AH617" s="84"/>
      <c r="AI617" s="84"/>
      <c r="AJ617" s="84"/>
      <c r="AK617" s="84"/>
    </row>
    <row r="618" spans="9:37" ht="12.75" customHeight="1" x14ac:dyDescent="0.25">
      <c r="I618" s="84"/>
      <c r="J618" s="84"/>
      <c r="K618" s="84"/>
      <c r="N618" s="84"/>
      <c r="R618" s="84"/>
      <c r="S618" s="84"/>
      <c r="W618" s="84"/>
      <c r="Y618" s="84"/>
      <c r="AB618" s="84"/>
      <c r="AC618" s="84"/>
      <c r="AH618" s="84"/>
      <c r="AI618" s="84"/>
      <c r="AJ618" s="84"/>
      <c r="AK618" s="84"/>
    </row>
    <row r="619" spans="9:37" ht="12.75" customHeight="1" x14ac:dyDescent="0.25">
      <c r="I619" s="84"/>
      <c r="J619" s="84"/>
      <c r="K619" s="84"/>
      <c r="N619" s="84"/>
      <c r="R619" s="84"/>
      <c r="S619" s="84"/>
      <c r="W619" s="84"/>
      <c r="Y619" s="84"/>
      <c r="AB619" s="84"/>
      <c r="AC619" s="84"/>
      <c r="AH619" s="84"/>
      <c r="AI619" s="84"/>
      <c r="AJ619" s="84"/>
      <c r="AK619" s="84"/>
    </row>
    <row r="620" spans="9:37" ht="12.75" customHeight="1" x14ac:dyDescent="0.25">
      <c r="I620" s="84"/>
      <c r="J620" s="84"/>
      <c r="K620" s="84"/>
      <c r="N620" s="84"/>
      <c r="R620" s="84"/>
      <c r="S620" s="84"/>
      <c r="W620" s="84"/>
      <c r="Y620" s="84"/>
      <c r="AB620" s="84"/>
      <c r="AC620" s="84"/>
      <c r="AH620" s="84"/>
      <c r="AI620" s="84"/>
      <c r="AJ620" s="84"/>
      <c r="AK620" s="84"/>
    </row>
    <row r="621" spans="9:37" ht="12.75" customHeight="1" x14ac:dyDescent="0.25">
      <c r="I621" s="84"/>
      <c r="J621" s="84"/>
      <c r="K621" s="84"/>
      <c r="N621" s="84"/>
      <c r="R621" s="84"/>
      <c r="S621" s="84"/>
      <c r="W621" s="84"/>
      <c r="Y621" s="84"/>
      <c r="AB621" s="84"/>
      <c r="AC621" s="84"/>
      <c r="AH621" s="84"/>
      <c r="AI621" s="84"/>
      <c r="AJ621" s="84"/>
      <c r="AK621" s="84"/>
    </row>
    <row r="622" spans="9:37" ht="12.75" customHeight="1" x14ac:dyDescent="0.25">
      <c r="I622" s="84"/>
      <c r="J622" s="84"/>
      <c r="K622" s="84"/>
      <c r="N622" s="84"/>
      <c r="R622" s="84"/>
      <c r="S622" s="84"/>
      <c r="W622" s="84"/>
      <c r="Y622" s="84"/>
      <c r="AB622" s="84"/>
      <c r="AC622" s="84"/>
      <c r="AH622" s="84"/>
      <c r="AI622" s="84"/>
      <c r="AJ622" s="84"/>
      <c r="AK622" s="84"/>
    </row>
    <row r="623" spans="9:37" ht="12.75" customHeight="1" x14ac:dyDescent="0.25">
      <c r="I623" s="84"/>
      <c r="J623" s="84"/>
      <c r="K623" s="84"/>
      <c r="N623" s="84"/>
      <c r="R623" s="84"/>
      <c r="S623" s="84"/>
      <c r="W623" s="84"/>
      <c r="Y623" s="84"/>
      <c r="AB623" s="84"/>
      <c r="AC623" s="84"/>
      <c r="AH623" s="84"/>
      <c r="AI623" s="84"/>
      <c r="AJ623" s="84"/>
      <c r="AK623" s="84"/>
    </row>
    <row r="624" spans="9:37" ht="12.75" customHeight="1" x14ac:dyDescent="0.25">
      <c r="I624" s="84"/>
      <c r="J624" s="84"/>
      <c r="K624" s="84"/>
      <c r="N624" s="84"/>
      <c r="R624" s="84"/>
      <c r="S624" s="84"/>
      <c r="W624" s="84"/>
      <c r="Y624" s="84"/>
      <c r="AB624" s="84"/>
      <c r="AC624" s="84"/>
      <c r="AH624" s="84"/>
      <c r="AI624" s="84"/>
      <c r="AJ624" s="84"/>
      <c r="AK624" s="84"/>
    </row>
    <row r="625" spans="9:37" ht="12.75" customHeight="1" x14ac:dyDescent="0.25">
      <c r="I625" s="84"/>
      <c r="J625" s="84"/>
      <c r="K625" s="84"/>
      <c r="N625" s="84"/>
      <c r="R625" s="84"/>
      <c r="S625" s="84"/>
      <c r="W625" s="84"/>
      <c r="Y625" s="84"/>
      <c r="AB625" s="84"/>
      <c r="AC625" s="84"/>
      <c r="AH625" s="84"/>
      <c r="AI625" s="84"/>
      <c r="AJ625" s="84"/>
      <c r="AK625" s="84"/>
    </row>
    <row r="626" spans="9:37" ht="12.75" customHeight="1" x14ac:dyDescent="0.25">
      <c r="I626" s="84"/>
      <c r="J626" s="84"/>
      <c r="K626" s="84"/>
      <c r="N626" s="84"/>
      <c r="R626" s="84"/>
      <c r="S626" s="84"/>
      <c r="W626" s="84"/>
      <c r="Y626" s="84"/>
      <c r="AB626" s="84"/>
      <c r="AC626" s="84"/>
      <c r="AH626" s="84"/>
      <c r="AI626" s="84"/>
      <c r="AJ626" s="84"/>
      <c r="AK626" s="84"/>
    </row>
    <row r="627" spans="9:37" ht="12.75" customHeight="1" x14ac:dyDescent="0.25">
      <c r="I627" s="84"/>
      <c r="J627" s="84"/>
      <c r="K627" s="84"/>
      <c r="N627" s="84"/>
      <c r="R627" s="84"/>
      <c r="S627" s="84"/>
      <c r="W627" s="84"/>
      <c r="Y627" s="84"/>
      <c r="AB627" s="84"/>
      <c r="AC627" s="84"/>
      <c r="AH627" s="84"/>
      <c r="AI627" s="84"/>
      <c r="AJ627" s="84"/>
      <c r="AK627" s="84"/>
    </row>
    <row r="628" spans="9:37" ht="12.75" customHeight="1" x14ac:dyDescent="0.25">
      <c r="I628" s="84"/>
      <c r="J628" s="84"/>
      <c r="K628" s="84"/>
      <c r="N628" s="84"/>
      <c r="R628" s="84"/>
      <c r="S628" s="84"/>
      <c r="W628" s="84"/>
      <c r="Y628" s="84"/>
      <c r="AB628" s="84"/>
      <c r="AC628" s="84"/>
      <c r="AH628" s="84"/>
      <c r="AI628" s="84"/>
      <c r="AJ628" s="84"/>
      <c r="AK628" s="84"/>
    </row>
    <row r="629" spans="9:37" ht="12.75" customHeight="1" x14ac:dyDescent="0.25">
      <c r="I629" s="84"/>
      <c r="J629" s="84"/>
      <c r="K629" s="84"/>
      <c r="N629" s="84"/>
      <c r="R629" s="84"/>
      <c r="S629" s="84"/>
      <c r="W629" s="84"/>
      <c r="Y629" s="84"/>
      <c r="AB629" s="84"/>
      <c r="AC629" s="84"/>
      <c r="AH629" s="84"/>
      <c r="AI629" s="84"/>
      <c r="AJ629" s="84"/>
      <c r="AK629" s="84"/>
    </row>
    <row r="630" spans="9:37" ht="12.75" customHeight="1" x14ac:dyDescent="0.25">
      <c r="I630" s="84"/>
      <c r="J630" s="84"/>
      <c r="K630" s="84"/>
      <c r="N630" s="84"/>
      <c r="R630" s="84"/>
      <c r="S630" s="84"/>
      <c r="W630" s="84"/>
      <c r="Y630" s="84"/>
      <c r="AB630" s="84"/>
      <c r="AC630" s="84"/>
      <c r="AH630" s="84"/>
      <c r="AI630" s="84"/>
      <c r="AJ630" s="84"/>
      <c r="AK630" s="84"/>
    </row>
    <row r="631" spans="9:37" ht="12.75" customHeight="1" x14ac:dyDescent="0.25">
      <c r="I631" s="84"/>
      <c r="J631" s="84"/>
      <c r="K631" s="84"/>
      <c r="N631" s="84"/>
      <c r="R631" s="84"/>
      <c r="S631" s="84"/>
      <c r="W631" s="84"/>
      <c r="Y631" s="84"/>
      <c r="AB631" s="84"/>
      <c r="AC631" s="84"/>
      <c r="AH631" s="84"/>
      <c r="AI631" s="84"/>
      <c r="AJ631" s="84"/>
      <c r="AK631" s="84"/>
    </row>
    <row r="632" spans="9:37" ht="12.75" customHeight="1" x14ac:dyDescent="0.25">
      <c r="I632" s="84"/>
      <c r="J632" s="84"/>
      <c r="K632" s="84"/>
      <c r="N632" s="84"/>
      <c r="R632" s="84"/>
      <c r="S632" s="84"/>
      <c r="W632" s="84"/>
      <c r="Y632" s="84"/>
      <c r="AB632" s="84"/>
      <c r="AC632" s="84"/>
      <c r="AH632" s="84"/>
      <c r="AI632" s="84"/>
      <c r="AJ632" s="84"/>
      <c r="AK632" s="84"/>
    </row>
    <row r="633" spans="9:37" ht="12.75" customHeight="1" x14ac:dyDescent="0.25">
      <c r="I633" s="84"/>
      <c r="J633" s="84"/>
      <c r="K633" s="84"/>
      <c r="N633" s="84"/>
      <c r="R633" s="84"/>
      <c r="S633" s="84"/>
      <c r="W633" s="84"/>
      <c r="Y633" s="84"/>
      <c r="AB633" s="84"/>
      <c r="AC633" s="84"/>
      <c r="AH633" s="84"/>
      <c r="AI633" s="84"/>
      <c r="AJ633" s="84"/>
      <c r="AK633" s="84"/>
    </row>
    <row r="634" spans="9:37" ht="12.75" customHeight="1" x14ac:dyDescent="0.25">
      <c r="I634" s="84"/>
      <c r="J634" s="84"/>
      <c r="K634" s="84"/>
      <c r="N634" s="84"/>
      <c r="R634" s="84"/>
      <c r="S634" s="84"/>
      <c r="W634" s="84"/>
      <c r="Y634" s="84"/>
      <c r="AB634" s="84"/>
      <c r="AC634" s="84"/>
      <c r="AH634" s="84"/>
      <c r="AI634" s="84"/>
      <c r="AJ634" s="84"/>
      <c r="AK634" s="84"/>
    </row>
    <row r="635" spans="9:37" ht="12.75" customHeight="1" x14ac:dyDescent="0.25">
      <c r="I635" s="84"/>
      <c r="J635" s="84"/>
      <c r="K635" s="84"/>
      <c r="N635" s="84"/>
      <c r="R635" s="84"/>
      <c r="S635" s="84"/>
      <c r="W635" s="84"/>
      <c r="Y635" s="84"/>
      <c r="AB635" s="84"/>
      <c r="AC635" s="84"/>
      <c r="AH635" s="84"/>
      <c r="AI635" s="84"/>
      <c r="AJ635" s="84"/>
      <c r="AK635" s="84"/>
    </row>
    <row r="636" spans="9:37" ht="12.75" customHeight="1" x14ac:dyDescent="0.25">
      <c r="I636" s="84"/>
      <c r="J636" s="84"/>
      <c r="K636" s="84"/>
      <c r="N636" s="84"/>
      <c r="R636" s="84"/>
      <c r="S636" s="84"/>
      <c r="W636" s="84"/>
      <c r="Y636" s="84"/>
      <c r="AB636" s="84"/>
      <c r="AC636" s="84"/>
      <c r="AH636" s="84"/>
      <c r="AI636" s="84"/>
      <c r="AJ636" s="84"/>
      <c r="AK636" s="84"/>
    </row>
    <row r="637" spans="9:37" ht="12.75" customHeight="1" x14ac:dyDescent="0.25">
      <c r="I637" s="84"/>
      <c r="J637" s="84"/>
      <c r="K637" s="84"/>
      <c r="N637" s="84"/>
      <c r="R637" s="84"/>
      <c r="S637" s="84"/>
      <c r="W637" s="84"/>
      <c r="Y637" s="84"/>
      <c r="AB637" s="84"/>
      <c r="AC637" s="84"/>
      <c r="AH637" s="84"/>
      <c r="AI637" s="84"/>
      <c r="AJ637" s="84"/>
      <c r="AK637" s="84"/>
    </row>
    <row r="638" spans="9:37" ht="12.75" customHeight="1" x14ac:dyDescent="0.25">
      <c r="I638" s="84"/>
      <c r="J638" s="84"/>
      <c r="K638" s="84"/>
      <c r="N638" s="84"/>
      <c r="R638" s="84"/>
      <c r="S638" s="84"/>
      <c r="W638" s="84"/>
      <c r="Y638" s="84"/>
      <c r="AB638" s="84"/>
      <c r="AC638" s="84"/>
      <c r="AH638" s="84"/>
      <c r="AI638" s="84"/>
      <c r="AJ638" s="84"/>
      <c r="AK638" s="84"/>
    </row>
    <row r="639" spans="9:37" ht="12.75" customHeight="1" x14ac:dyDescent="0.25">
      <c r="I639" s="84"/>
      <c r="J639" s="84"/>
      <c r="K639" s="84"/>
      <c r="N639" s="84"/>
      <c r="R639" s="84"/>
      <c r="S639" s="84"/>
      <c r="W639" s="84"/>
      <c r="Y639" s="84"/>
      <c r="AB639" s="84"/>
      <c r="AC639" s="84"/>
      <c r="AH639" s="84"/>
      <c r="AI639" s="84"/>
      <c r="AJ639" s="84"/>
      <c r="AK639" s="84"/>
    </row>
    <row r="640" spans="9:37" ht="12.75" customHeight="1" x14ac:dyDescent="0.25">
      <c r="I640" s="84"/>
      <c r="J640" s="84"/>
      <c r="K640" s="84"/>
      <c r="N640" s="84"/>
      <c r="R640" s="84"/>
      <c r="S640" s="84"/>
      <c r="W640" s="84"/>
      <c r="Y640" s="84"/>
      <c r="AB640" s="84"/>
      <c r="AC640" s="84"/>
      <c r="AH640" s="84"/>
      <c r="AI640" s="84"/>
      <c r="AJ640" s="84"/>
      <c r="AK640" s="84"/>
    </row>
    <row r="641" spans="9:37" ht="12.75" customHeight="1" x14ac:dyDescent="0.25">
      <c r="I641" s="84"/>
      <c r="J641" s="84"/>
      <c r="K641" s="84"/>
      <c r="N641" s="84"/>
      <c r="R641" s="84"/>
      <c r="S641" s="84"/>
      <c r="W641" s="84"/>
      <c r="Y641" s="84"/>
      <c r="AB641" s="84"/>
      <c r="AC641" s="84"/>
      <c r="AH641" s="84"/>
      <c r="AI641" s="84"/>
      <c r="AJ641" s="84"/>
      <c r="AK641" s="84"/>
    </row>
    <row r="642" spans="9:37" ht="12.75" customHeight="1" x14ac:dyDescent="0.25">
      <c r="I642" s="84"/>
      <c r="J642" s="84"/>
      <c r="K642" s="84"/>
      <c r="N642" s="84"/>
      <c r="R642" s="84"/>
      <c r="S642" s="84"/>
      <c r="W642" s="84"/>
      <c r="Y642" s="84"/>
      <c r="AB642" s="84"/>
      <c r="AC642" s="84"/>
      <c r="AH642" s="84"/>
      <c r="AI642" s="84"/>
      <c r="AJ642" s="84"/>
      <c r="AK642" s="84"/>
    </row>
    <row r="643" spans="9:37" ht="12.75" customHeight="1" x14ac:dyDescent="0.25">
      <c r="I643" s="84"/>
      <c r="J643" s="84"/>
      <c r="K643" s="84"/>
      <c r="N643" s="84"/>
      <c r="R643" s="84"/>
      <c r="S643" s="84"/>
      <c r="W643" s="84"/>
      <c r="Y643" s="84"/>
      <c r="AB643" s="84"/>
      <c r="AC643" s="84"/>
      <c r="AH643" s="84"/>
      <c r="AI643" s="84"/>
      <c r="AJ643" s="84"/>
      <c r="AK643" s="84"/>
    </row>
    <row r="644" spans="9:37" ht="12.75" customHeight="1" x14ac:dyDescent="0.25">
      <c r="I644" s="84"/>
      <c r="J644" s="84"/>
      <c r="K644" s="84"/>
      <c r="N644" s="84"/>
      <c r="R644" s="84"/>
      <c r="S644" s="84"/>
      <c r="W644" s="84"/>
      <c r="Y644" s="84"/>
      <c r="AB644" s="84"/>
      <c r="AC644" s="84"/>
      <c r="AH644" s="84"/>
      <c r="AI644" s="84"/>
      <c r="AJ644" s="84"/>
      <c r="AK644" s="84"/>
    </row>
    <row r="645" spans="9:37" ht="12.75" customHeight="1" x14ac:dyDescent="0.25">
      <c r="I645" s="84"/>
      <c r="J645" s="84"/>
      <c r="K645" s="84"/>
      <c r="N645" s="84"/>
      <c r="R645" s="84"/>
      <c r="S645" s="84"/>
      <c r="W645" s="84"/>
      <c r="Y645" s="84"/>
      <c r="AB645" s="84"/>
      <c r="AC645" s="84"/>
      <c r="AH645" s="84"/>
      <c r="AI645" s="84"/>
      <c r="AJ645" s="84"/>
      <c r="AK645" s="84"/>
    </row>
    <row r="646" spans="9:37" ht="12.75" customHeight="1" x14ac:dyDescent="0.25">
      <c r="I646" s="84"/>
      <c r="J646" s="84"/>
      <c r="K646" s="84"/>
      <c r="N646" s="84"/>
      <c r="R646" s="84"/>
      <c r="S646" s="84"/>
      <c r="W646" s="84"/>
      <c r="Y646" s="84"/>
      <c r="AB646" s="84"/>
      <c r="AC646" s="84"/>
      <c r="AH646" s="84"/>
      <c r="AI646" s="84"/>
      <c r="AJ646" s="84"/>
      <c r="AK646" s="84"/>
    </row>
    <row r="647" spans="9:37" ht="12.75" customHeight="1" x14ac:dyDescent="0.25">
      <c r="I647" s="84"/>
      <c r="J647" s="84"/>
      <c r="K647" s="84"/>
      <c r="N647" s="84"/>
      <c r="R647" s="84"/>
      <c r="S647" s="84"/>
      <c r="W647" s="84"/>
      <c r="Y647" s="84"/>
      <c r="AB647" s="84"/>
      <c r="AC647" s="84"/>
      <c r="AH647" s="84"/>
      <c r="AI647" s="84"/>
      <c r="AJ647" s="84"/>
      <c r="AK647" s="84"/>
    </row>
    <row r="648" spans="9:37" ht="12.75" customHeight="1" x14ac:dyDescent="0.25">
      <c r="I648" s="84"/>
      <c r="J648" s="84"/>
      <c r="K648" s="84"/>
      <c r="N648" s="84"/>
      <c r="R648" s="84"/>
      <c r="S648" s="84"/>
      <c r="W648" s="84"/>
      <c r="Y648" s="84"/>
      <c r="AB648" s="84"/>
      <c r="AC648" s="84"/>
      <c r="AH648" s="84"/>
      <c r="AI648" s="84"/>
      <c r="AJ648" s="84"/>
      <c r="AK648" s="84"/>
    </row>
    <row r="649" spans="9:37" ht="12.75" customHeight="1" x14ac:dyDescent="0.25">
      <c r="I649" s="84"/>
      <c r="J649" s="84"/>
      <c r="K649" s="84"/>
      <c r="N649" s="84"/>
      <c r="R649" s="84"/>
      <c r="S649" s="84"/>
      <c r="W649" s="84"/>
      <c r="Y649" s="84"/>
      <c r="AB649" s="84"/>
      <c r="AC649" s="84"/>
      <c r="AH649" s="84"/>
      <c r="AI649" s="84"/>
      <c r="AJ649" s="84"/>
      <c r="AK649" s="84"/>
    </row>
    <row r="650" spans="9:37" ht="12.75" customHeight="1" x14ac:dyDescent="0.25">
      <c r="I650" s="84"/>
      <c r="J650" s="84"/>
      <c r="K650" s="84"/>
      <c r="N650" s="84"/>
      <c r="R650" s="84"/>
      <c r="S650" s="84"/>
      <c r="W650" s="84"/>
      <c r="Y650" s="84"/>
      <c r="AB650" s="84"/>
      <c r="AC650" s="84"/>
      <c r="AH650" s="84"/>
      <c r="AI650" s="84"/>
      <c r="AJ650" s="84"/>
      <c r="AK650" s="84"/>
    </row>
    <row r="651" spans="9:37" ht="12.75" customHeight="1" x14ac:dyDescent="0.25">
      <c r="I651" s="84"/>
      <c r="J651" s="84"/>
      <c r="K651" s="84"/>
      <c r="N651" s="84"/>
      <c r="R651" s="84"/>
      <c r="S651" s="84"/>
      <c r="W651" s="84"/>
      <c r="Y651" s="84"/>
      <c r="AB651" s="84"/>
      <c r="AC651" s="84"/>
      <c r="AH651" s="84"/>
      <c r="AI651" s="84"/>
      <c r="AJ651" s="84"/>
      <c r="AK651" s="84"/>
    </row>
    <row r="652" spans="9:37" ht="12.75" customHeight="1" x14ac:dyDescent="0.25">
      <c r="I652" s="84"/>
      <c r="J652" s="84"/>
      <c r="K652" s="84"/>
      <c r="N652" s="84"/>
      <c r="R652" s="84"/>
      <c r="S652" s="84"/>
      <c r="W652" s="84"/>
      <c r="Y652" s="84"/>
      <c r="AB652" s="84"/>
      <c r="AC652" s="84"/>
      <c r="AH652" s="84"/>
      <c r="AI652" s="84"/>
      <c r="AJ652" s="84"/>
      <c r="AK652" s="84"/>
    </row>
    <row r="653" spans="9:37" ht="12.75" customHeight="1" x14ac:dyDescent="0.25">
      <c r="I653" s="84"/>
      <c r="J653" s="84"/>
      <c r="K653" s="84"/>
      <c r="N653" s="84"/>
      <c r="R653" s="84"/>
      <c r="S653" s="84"/>
      <c r="W653" s="84"/>
      <c r="Y653" s="84"/>
      <c r="AB653" s="84"/>
      <c r="AC653" s="84"/>
      <c r="AH653" s="84"/>
      <c r="AI653" s="84"/>
      <c r="AJ653" s="84"/>
      <c r="AK653" s="84"/>
    </row>
    <row r="654" spans="9:37" ht="12.75" customHeight="1" x14ac:dyDescent="0.25">
      <c r="I654" s="84"/>
      <c r="J654" s="84"/>
      <c r="K654" s="84"/>
      <c r="N654" s="84"/>
      <c r="R654" s="84"/>
      <c r="S654" s="84"/>
      <c r="W654" s="84"/>
      <c r="Y654" s="84"/>
      <c r="AB654" s="84"/>
      <c r="AC654" s="84"/>
      <c r="AH654" s="84"/>
      <c r="AI654" s="84"/>
      <c r="AJ654" s="84"/>
      <c r="AK654" s="84"/>
    </row>
    <row r="655" spans="9:37" ht="12.75" customHeight="1" x14ac:dyDescent="0.25">
      <c r="I655" s="84"/>
      <c r="J655" s="84"/>
      <c r="K655" s="84"/>
      <c r="N655" s="84"/>
      <c r="R655" s="84"/>
      <c r="S655" s="84"/>
      <c r="W655" s="84"/>
      <c r="Y655" s="84"/>
      <c r="AB655" s="84"/>
      <c r="AC655" s="84"/>
      <c r="AH655" s="84"/>
      <c r="AI655" s="84"/>
      <c r="AJ655" s="84"/>
      <c r="AK655" s="84"/>
    </row>
    <row r="656" spans="9:37" ht="12.75" customHeight="1" x14ac:dyDescent="0.25">
      <c r="I656" s="84"/>
      <c r="J656" s="84"/>
      <c r="K656" s="84"/>
      <c r="N656" s="84"/>
      <c r="R656" s="84"/>
      <c r="S656" s="84"/>
      <c r="W656" s="84"/>
      <c r="Y656" s="84"/>
      <c r="AB656" s="84"/>
      <c r="AC656" s="84"/>
      <c r="AH656" s="84"/>
      <c r="AI656" s="84"/>
      <c r="AJ656" s="84"/>
      <c r="AK656" s="84"/>
    </row>
    <row r="657" spans="9:37" ht="12.75" customHeight="1" x14ac:dyDescent="0.25">
      <c r="I657" s="84"/>
      <c r="J657" s="84"/>
      <c r="K657" s="84"/>
      <c r="N657" s="84"/>
      <c r="R657" s="84"/>
      <c r="S657" s="84"/>
      <c r="W657" s="84"/>
      <c r="Y657" s="84"/>
      <c r="AB657" s="84"/>
      <c r="AC657" s="84"/>
      <c r="AH657" s="84"/>
      <c r="AI657" s="84"/>
      <c r="AJ657" s="84"/>
      <c r="AK657" s="84"/>
    </row>
    <row r="658" spans="9:37" ht="12.75" customHeight="1" x14ac:dyDescent="0.25">
      <c r="I658" s="84"/>
      <c r="J658" s="84"/>
      <c r="K658" s="84"/>
      <c r="N658" s="84"/>
      <c r="R658" s="84"/>
      <c r="S658" s="84"/>
      <c r="W658" s="84"/>
      <c r="Y658" s="84"/>
      <c r="AB658" s="84"/>
      <c r="AC658" s="84"/>
      <c r="AH658" s="84"/>
      <c r="AI658" s="84"/>
      <c r="AJ658" s="84"/>
      <c r="AK658" s="84"/>
    </row>
    <row r="659" spans="9:37" ht="12.75" customHeight="1" x14ac:dyDescent="0.25">
      <c r="I659" s="84"/>
      <c r="J659" s="84"/>
      <c r="K659" s="84"/>
      <c r="N659" s="84"/>
      <c r="R659" s="84"/>
      <c r="S659" s="84"/>
      <c r="W659" s="84"/>
      <c r="Y659" s="84"/>
      <c r="AB659" s="84"/>
      <c r="AC659" s="84"/>
      <c r="AH659" s="84"/>
      <c r="AI659" s="84"/>
      <c r="AJ659" s="84"/>
      <c r="AK659" s="84"/>
    </row>
    <row r="660" spans="9:37" ht="12.75" customHeight="1" x14ac:dyDescent="0.25">
      <c r="I660" s="84"/>
      <c r="J660" s="84"/>
      <c r="K660" s="84"/>
      <c r="N660" s="84"/>
      <c r="R660" s="84"/>
      <c r="S660" s="84"/>
      <c r="W660" s="84"/>
      <c r="Y660" s="84"/>
      <c r="AB660" s="84"/>
      <c r="AC660" s="84"/>
      <c r="AH660" s="84"/>
      <c r="AI660" s="84"/>
      <c r="AJ660" s="84"/>
      <c r="AK660" s="84"/>
    </row>
    <row r="661" spans="9:37" ht="12.75" customHeight="1" x14ac:dyDescent="0.25">
      <c r="I661" s="84"/>
      <c r="J661" s="84"/>
      <c r="K661" s="84"/>
      <c r="N661" s="84"/>
      <c r="R661" s="84"/>
      <c r="S661" s="84"/>
      <c r="W661" s="84"/>
      <c r="Y661" s="84"/>
      <c r="AB661" s="84"/>
      <c r="AC661" s="84"/>
      <c r="AH661" s="84"/>
      <c r="AI661" s="84"/>
      <c r="AJ661" s="84"/>
      <c r="AK661" s="84"/>
    </row>
    <row r="662" spans="9:37" ht="12.75" customHeight="1" x14ac:dyDescent="0.25">
      <c r="I662" s="84"/>
      <c r="J662" s="84"/>
      <c r="K662" s="84"/>
      <c r="N662" s="84"/>
      <c r="R662" s="84"/>
      <c r="S662" s="84"/>
      <c r="W662" s="84"/>
      <c r="Y662" s="84"/>
      <c r="AB662" s="84"/>
      <c r="AC662" s="84"/>
      <c r="AH662" s="84"/>
      <c r="AI662" s="84"/>
      <c r="AJ662" s="84"/>
      <c r="AK662" s="84"/>
    </row>
    <row r="663" spans="9:37" ht="12.75" customHeight="1" x14ac:dyDescent="0.25">
      <c r="I663" s="84"/>
      <c r="J663" s="84"/>
      <c r="K663" s="84"/>
      <c r="N663" s="84"/>
      <c r="R663" s="84"/>
      <c r="S663" s="84"/>
      <c r="W663" s="84"/>
      <c r="Y663" s="84"/>
      <c r="AB663" s="84"/>
      <c r="AC663" s="84"/>
      <c r="AH663" s="84"/>
      <c r="AI663" s="84"/>
      <c r="AJ663" s="84"/>
      <c r="AK663" s="84"/>
    </row>
    <row r="664" spans="9:37" ht="12.75" customHeight="1" x14ac:dyDescent="0.25">
      <c r="I664" s="84"/>
      <c r="J664" s="84"/>
      <c r="K664" s="84"/>
      <c r="N664" s="84"/>
      <c r="R664" s="84"/>
      <c r="S664" s="84"/>
      <c r="W664" s="84"/>
      <c r="Y664" s="84"/>
      <c r="AB664" s="84"/>
      <c r="AC664" s="84"/>
      <c r="AH664" s="84"/>
      <c r="AI664" s="84"/>
      <c r="AJ664" s="84"/>
      <c r="AK664" s="84"/>
    </row>
    <row r="665" spans="9:37" ht="12.75" customHeight="1" x14ac:dyDescent="0.25">
      <c r="I665" s="84"/>
      <c r="J665" s="84"/>
      <c r="K665" s="84"/>
      <c r="N665" s="84"/>
      <c r="R665" s="84"/>
      <c r="S665" s="84"/>
      <c r="W665" s="84"/>
      <c r="Y665" s="84"/>
      <c r="AB665" s="84"/>
      <c r="AC665" s="84"/>
      <c r="AH665" s="84"/>
      <c r="AI665" s="84"/>
      <c r="AJ665" s="84"/>
      <c r="AK665" s="84"/>
    </row>
    <row r="666" spans="9:37" ht="12.75" customHeight="1" x14ac:dyDescent="0.25">
      <c r="I666" s="84"/>
      <c r="J666" s="84"/>
      <c r="K666" s="84"/>
      <c r="N666" s="84"/>
      <c r="R666" s="84"/>
      <c r="S666" s="84"/>
      <c r="W666" s="84"/>
      <c r="Y666" s="84"/>
      <c r="AB666" s="84"/>
      <c r="AC666" s="84"/>
      <c r="AH666" s="84"/>
      <c r="AI666" s="84"/>
      <c r="AJ666" s="84"/>
      <c r="AK666" s="84"/>
    </row>
    <row r="667" spans="9:37" ht="12.75" customHeight="1" x14ac:dyDescent="0.25">
      <c r="I667" s="84"/>
      <c r="J667" s="84"/>
      <c r="K667" s="84"/>
      <c r="N667" s="84"/>
      <c r="R667" s="84"/>
      <c r="S667" s="84"/>
      <c r="W667" s="84"/>
      <c r="Y667" s="84"/>
      <c r="AB667" s="84"/>
      <c r="AC667" s="84"/>
      <c r="AH667" s="84"/>
      <c r="AI667" s="84"/>
      <c r="AJ667" s="84"/>
      <c r="AK667" s="84"/>
    </row>
    <row r="668" spans="9:37" ht="12.75" customHeight="1" x14ac:dyDescent="0.25">
      <c r="I668" s="84"/>
      <c r="J668" s="84"/>
      <c r="K668" s="84"/>
      <c r="N668" s="84"/>
      <c r="R668" s="84"/>
      <c r="S668" s="84"/>
      <c r="W668" s="84"/>
      <c r="Y668" s="84"/>
      <c r="AB668" s="84"/>
      <c r="AC668" s="84"/>
      <c r="AH668" s="84"/>
      <c r="AI668" s="84"/>
      <c r="AJ668" s="84"/>
      <c r="AK668" s="84"/>
    </row>
    <row r="669" spans="9:37" ht="12.75" customHeight="1" x14ac:dyDescent="0.25">
      <c r="I669" s="84"/>
      <c r="J669" s="84"/>
      <c r="K669" s="84"/>
      <c r="N669" s="84"/>
      <c r="R669" s="84"/>
      <c r="S669" s="84"/>
      <c r="W669" s="84"/>
      <c r="Y669" s="84"/>
      <c r="AB669" s="84"/>
      <c r="AC669" s="84"/>
      <c r="AH669" s="84"/>
      <c r="AI669" s="84"/>
      <c r="AJ669" s="84"/>
      <c r="AK669" s="84"/>
    </row>
    <row r="670" spans="9:37" ht="12.75" customHeight="1" x14ac:dyDescent="0.25">
      <c r="I670" s="84"/>
      <c r="J670" s="84"/>
      <c r="K670" s="84"/>
      <c r="N670" s="84"/>
      <c r="R670" s="84"/>
      <c r="S670" s="84"/>
      <c r="W670" s="84"/>
      <c r="Y670" s="84"/>
      <c r="AB670" s="84"/>
      <c r="AC670" s="84"/>
      <c r="AH670" s="84"/>
      <c r="AI670" s="84"/>
      <c r="AJ670" s="84"/>
      <c r="AK670" s="84"/>
    </row>
    <row r="671" spans="9:37" ht="12.75" customHeight="1" x14ac:dyDescent="0.25">
      <c r="I671" s="84"/>
      <c r="J671" s="84"/>
      <c r="K671" s="84"/>
      <c r="N671" s="84"/>
      <c r="R671" s="84"/>
      <c r="S671" s="84"/>
      <c r="W671" s="84"/>
      <c r="Y671" s="84"/>
      <c r="AB671" s="84"/>
      <c r="AC671" s="84"/>
      <c r="AH671" s="84"/>
      <c r="AI671" s="84"/>
      <c r="AJ671" s="84"/>
      <c r="AK671" s="84"/>
    </row>
    <row r="672" spans="9:37" ht="12.75" customHeight="1" x14ac:dyDescent="0.25">
      <c r="I672" s="84"/>
      <c r="J672" s="84"/>
      <c r="K672" s="84"/>
      <c r="N672" s="84"/>
      <c r="R672" s="84"/>
      <c r="S672" s="84"/>
      <c r="W672" s="84"/>
      <c r="Y672" s="84"/>
      <c r="AB672" s="84"/>
      <c r="AC672" s="84"/>
      <c r="AH672" s="84"/>
      <c r="AI672" s="84"/>
      <c r="AJ672" s="84"/>
      <c r="AK672" s="84"/>
    </row>
    <row r="673" spans="9:37" ht="12.75" customHeight="1" x14ac:dyDescent="0.25">
      <c r="I673" s="84"/>
      <c r="J673" s="84"/>
      <c r="K673" s="84"/>
      <c r="N673" s="84"/>
      <c r="R673" s="84"/>
      <c r="S673" s="84"/>
      <c r="W673" s="84"/>
      <c r="Y673" s="84"/>
      <c r="AB673" s="84"/>
      <c r="AC673" s="84"/>
      <c r="AH673" s="84"/>
      <c r="AI673" s="84"/>
      <c r="AJ673" s="84"/>
      <c r="AK673" s="84"/>
    </row>
    <row r="674" spans="9:37" ht="12.75" customHeight="1" x14ac:dyDescent="0.25">
      <c r="I674" s="84"/>
      <c r="J674" s="84"/>
      <c r="K674" s="84"/>
      <c r="N674" s="84"/>
      <c r="R674" s="84"/>
      <c r="S674" s="84"/>
      <c r="W674" s="84"/>
      <c r="Y674" s="84"/>
      <c r="AB674" s="84"/>
      <c r="AC674" s="84"/>
      <c r="AH674" s="84"/>
      <c r="AI674" s="84"/>
      <c r="AJ674" s="84"/>
      <c r="AK674" s="84"/>
    </row>
    <row r="675" spans="9:37" ht="12.75" customHeight="1" x14ac:dyDescent="0.25">
      <c r="I675" s="84"/>
      <c r="J675" s="84"/>
      <c r="K675" s="84"/>
      <c r="N675" s="84"/>
      <c r="R675" s="84"/>
      <c r="S675" s="84"/>
      <c r="W675" s="84"/>
      <c r="Y675" s="84"/>
      <c r="AB675" s="84"/>
      <c r="AC675" s="84"/>
      <c r="AH675" s="84"/>
      <c r="AI675" s="84"/>
      <c r="AJ675" s="84"/>
      <c r="AK675" s="84"/>
    </row>
    <row r="676" spans="9:37" ht="12.75" customHeight="1" x14ac:dyDescent="0.25">
      <c r="I676" s="84"/>
      <c r="J676" s="84"/>
      <c r="K676" s="84"/>
      <c r="N676" s="84"/>
      <c r="R676" s="84"/>
      <c r="S676" s="84"/>
      <c r="W676" s="84"/>
      <c r="Y676" s="84"/>
      <c r="AB676" s="84"/>
      <c r="AC676" s="84"/>
      <c r="AH676" s="84"/>
      <c r="AI676" s="84"/>
      <c r="AJ676" s="84"/>
      <c r="AK676" s="84"/>
    </row>
    <row r="677" spans="9:37" ht="12.75" customHeight="1" x14ac:dyDescent="0.25">
      <c r="I677" s="84"/>
      <c r="J677" s="84"/>
      <c r="K677" s="84"/>
      <c r="N677" s="84"/>
      <c r="R677" s="84"/>
      <c r="S677" s="84"/>
      <c r="W677" s="84"/>
      <c r="Y677" s="84"/>
      <c r="AB677" s="84"/>
      <c r="AC677" s="84"/>
      <c r="AH677" s="84"/>
      <c r="AI677" s="84"/>
      <c r="AJ677" s="84"/>
      <c r="AK677" s="84"/>
    </row>
    <row r="678" spans="9:37" ht="12.75" customHeight="1" x14ac:dyDescent="0.25">
      <c r="I678" s="84"/>
      <c r="J678" s="84"/>
      <c r="K678" s="84"/>
      <c r="N678" s="84"/>
      <c r="R678" s="84"/>
      <c r="S678" s="84"/>
      <c r="W678" s="84"/>
      <c r="Y678" s="84"/>
      <c r="AB678" s="84"/>
      <c r="AC678" s="84"/>
      <c r="AH678" s="84"/>
      <c r="AI678" s="84"/>
      <c r="AJ678" s="84"/>
      <c r="AK678" s="84"/>
    </row>
    <row r="679" spans="9:37" ht="12.75" customHeight="1" x14ac:dyDescent="0.25">
      <c r="I679" s="84"/>
      <c r="J679" s="84"/>
      <c r="K679" s="84"/>
      <c r="N679" s="84"/>
      <c r="R679" s="84"/>
      <c r="S679" s="84"/>
      <c r="W679" s="84"/>
      <c r="Y679" s="84"/>
      <c r="AB679" s="84"/>
      <c r="AC679" s="84"/>
      <c r="AH679" s="84"/>
      <c r="AI679" s="84"/>
      <c r="AJ679" s="84"/>
      <c r="AK679" s="84"/>
    </row>
    <row r="680" spans="9:37" ht="12.75" customHeight="1" x14ac:dyDescent="0.25">
      <c r="I680" s="84"/>
      <c r="J680" s="84"/>
      <c r="K680" s="84"/>
      <c r="N680" s="84"/>
      <c r="R680" s="84"/>
      <c r="S680" s="84"/>
      <c r="W680" s="84"/>
      <c r="Y680" s="84"/>
      <c r="AB680" s="84"/>
      <c r="AC680" s="84"/>
      <c r="AH680" s="84"/>
      <c r="AI680" s="84"/>
      <c r="AJ680" s="84"/>
      <c r="AK680" s="84"/>
    </row>
    <row r="681" spans="9:37" ht="12.75" customHeight="1" x14ac:dyDescent="0.25">
      <c r="I681" s="84"/>
      <c r="J681" s="84"/>
      <c r="K681" s="84"/>
      <c r="N681" s="84"/>
      <c r="R681" s="84"/>
      <c r="S681" s="84"/>
      <c r="W681" s="84"/>
      <c r="Y681" s="84"/>
      <c r="AB681" s="84"/>
      <c r="AC681" s="84"/>
      <c r="AH681" s="84"/>
      <c r="AI681" s="84"/>
      <c r="AJ681" s="84"/>
      <c r="AK681" s="84"/>
    </row>
    <row r="682" spans="9:37" ht="12.75" customHeight="1" x14ac:dyDescent="0.25">
      <c r="I682" s="84"/>
      <c r="J682" s="84"/>
      <c r="K682" s="84"/>
      <c r="N682" s="84"/>
      <c r="R682" s="84"/>
      <c r="S682" s="84"/>
      <c r="W682" s="84"/>
      <c r="Y682" s="84"/>
      <c r="AB682" s="84"/>
      <c r="AC682" s="84"/>
      <c r="AH682" s="84"/>
      <c r="AI682" s="84"/>
      <c r="AJ682" s="84"/>
      <c r="AK682" s="84"/>
    </row>
    <row r="683" spans="9:37" ht="12.75" customHeight="1" x14ac:dyDescent="0.25">
      <c r="I683" s="84"/>
      <c r="J683" s="84"/>
      <c r="K683" s="84"/>
      <c r="N683" s="84"/>
      <c r="R683" s="84"/>
      <c r="S683" s="84"/>
      <c r="W683" s="84"/>
      <c r="Y683" s="84"/>
      <c r="AB683" s="84"/>
      <c r="AC683" s="84"/>
      <c r="AH683" s="84"/>
      <c r="AI683" s="84"/>
      <c r="AJ683" s="84"/>
      <c r="AK683" s="84"/>
    </row>
    <row r="684" spans="9:37" ht="12.75" customHeight="1" x14ac:dyDescent="0.25">
      <c r="I684" s="84"/>
      <c r="J684" s="84"/>
      <c r="K684" s="84"/>
      <c r="N684" s="84"/>
      <c r="R684" s="84"/>
      <c r="S684" s="84"/>
      <c r="W684" s="84"/>
      <c r="Y684" s="84"/>
      <c r="AB684" s="84"/>
      <c r="AC684" s="84"/>
      <c r="AH684" s="84"/>
      <c r="AI684" s="84"/>
      <c r="AJ684" s="84"/>
      <c r="AK684" s="84"/>
    </row>
    <row r="685" spans="9:37" ht="12.75" customHeight="1" x14ac:dyDescent="0.25">
      <c r="I685" s="84"/>
      <c r="J685" s="84"/>
      <c r="K685" s="84"/>
      <c r="N685" s="84"/>
      <c r="R685" s="84"/>
      <c r="S685" s="84"/>
      <c r="W685" s="84"/>
      <c r="Y685" s="84"/>
      <c r="AB685" s="84"/>
      <c r="AC685" s="84"/>
      <c r="AH685" s="84"/>
      <c r="AI685" s="84"/>
      <c r="AJ685" s="84"/>
      <c r="AK685" s="84"/>
    </row>
    <row r="686" spans="9:37" ht="12.75" customHeight="1" x14ac:dyDescent="0.25">
      <c r="I686" s="84"/>
      <c r="J686" s="84"/>
      <c r="K686" s="84"/>
      <c r="N686" s="84"/>
      <c r="R686" s="84"/>
      <c r="S686" s="84"/>
      <c r="W686" s="84"/>
      <c r="Y686" s="84"/>
      <c r="AB686" s="84"/>
      <c r="AC686" s="84"/>
      <c r="AH686" s="84"/>
      <c r="AI686" s="84"/>
      <c r="AJ686" s="84"/>
      <c r="AK686" s="84"/>
    </row>
    <row r="687" spans="9:37" ht="12.75" customHeight="1" x14ac:dyDescent="0.25">
      <c r="I687" s="84"/>
      <c r="J687" s="84"/>
      <c r="K687" s="84"/>
      <c r="N687" s="84"/>
      <c r="R687" s="84"/>
      <c r="S687" s="84"/>
      <c r="W687" s="84"/>
      <c r="Y687" s="84"/>
      <c r="AB687" s="84"/>
      <c r="AC687" s="84"/>
      <c r="AH687" s="84"/>
      <c r="AI687" s="84"/>
      <c r="AJ687" s="84"/>
      <c r="AK687" s="84"/>
    </row>
    <row r="688" spans="9:37" ht="12.75" customHeight="1" x14ac:dyDescent="0.25">
      <c r="I688" s="84"/>
      <c r="J688" s="84"/>
      <c r="K688" s="84"/>
      <c r="N688" s="84"/>
      <c r="R688" s="84"/>
      <c r="S688" s="84"/>
      <c r="W688" s="84"/>
      <c r="Y688" s="84"/>
      <c r="AB688" s="84"/>
      <c r="AC688" s="84"/>
      <c r="AH688" s="84"/>
      <c r="AI688" s="84"/>
      <c r="AJ688" s="84"/>
      <c r="AK688" s="84"/>
    </row>
    <row r="689" spans="9:37" ht="12.75" customHeight="1" x14ac:dyDescent="0.25">
      <c r="I689" s="84"/>
      <c r="J689" s="84"/>
      <c r="K689" s="84"/>
      <c r="N689" s="84"/>
      <c r="R689" s="84"/>
      <c r="S689" s="84"/>
      <c r="W689" s="84"/>
      <c r="Y689" s="84"/>
      <c r="AB689" s="84"/>
      <c r="AC689" s="84"/>
      <c r="AH689" s="84"/>
      <c r="AI689" s="84"/>
      <c r="AJ689" s="84"/>
      <c r="AK689" s="84"/>
    </row>
    <row r="690" spans="9:37" ht="12.75" customHeight="1" x14ac:dyDescent="0.25">
      <c r="I690" s="84"/>
      <c r="J690" s="84"/>
      <c r="K690" s="84"/>
      <c r="N690" s="84"/>
      <c r="R690" s="84"/>
      <c r="S690" s="84"/>
      <c r="W690" s="84"/>
      <c r="Y690" s="84"/>
      <c r="AB690" s="84"/>
      <c r="AC690" s="84"/>
      <c r="AH690" s="84"/>
      <c r="AI690" s="84"/>
      <c r="AJ690" s="84"/>
      <c r="AK690" s="84"/>
    </row>
    <row r="691" spans="9:37" ht="12.75" customHeight="1" x14ac:dyDescent="0.25">
      <c r="I691" s="84"/>
      <c r="J691" s="84"/>
      <c r="K691" s="84"/>
      <c r="N691" s="84"/>
      <c r="R691" s="84"/>
      <c r="S691" s="84"/>
      <c r="W691" s="84"/>
      <c r="Y691" s="84"/>
      <c r="AB691" s="84"/>
      <c r="AC691" s="84"/>
      <c r="AH691" s="84"/>
      <c r="AI691" s="84"/>
      <c r="AJ691" s="84"/>
      <c r="AK691" s="84"/>
    </row>
    <row r="692" spans="9:37" ht="12.75" customHeight="1" x14ac:dyDescent="0.25">
      <c r="I692" s="84"/>
      <c r="J692" s="84"/>
      <c r="K692" s="84"/>
      <c r="N692" s="84"/>
      <c r="R692" s="84"/>
      <c r="S692" s="84"/>
      <c r="W692" s="84"/>
      <c r="Y692" s="84"/>
      <c r="AB692" s="84"/>
      <c r="AC692" s="84"/>
      <c r="AH692" s="84"/>
      <c r="AI692" s="84"/>
      <c r="AJ692" s="84"/>
      <c r="AK692" s="84"/>
    </row>
    <row r="693" spans="9:37" ht="12.75" customHeight="1" x14ac:dyDescent="0.25">
      <c r="I693" s="84"/>
      <c r="J693" s="84"/>
      <c r="K693" s="84"/>
      <c r="N693" s="84"/>
      <c r="R693" s="84"/>
      <c r="S693" s="84"/>
      <c r="W693" s="84"/>
      <c r="Y693" s="84"/>
      <c r="AB693" s="84"/>
      <c r="AC693" s="84"/>
      <c r="AH693" s="84"/>
      <c r="AI693" s="84"/>
      <c r="AJ693" s="84"/>
      <c r="AK693" s="84"/>
    </row>
    <row r="694" spans="9:37" ht="12.75" customHeight="1" x14ac:dyDescent="0.25">
      <c r="I694" s="84"/>
      <c r="J694" s="84"/>
      <c r="K694" s="84"/>
      <c r="N694" s="84"/>
      <c r="R694" s="84"/>
      <c r="S694" s="84"/>
      <c r="W694" s="84"/>
      <c r="Y694" s="84"/>
      <c r="AB694" s="84"/>
      <c r="AC694" s="84"/>
      <c r="AH694" s="84"/>
      <c r="AI694" s="84"/>
      <c r="AJ694" s="84"/>
      <c r="AK694" s="84"/>
    </row>
    <row r="695" spans="9:37" ht="12.75" customHeight="1" x14ac:dyDescent="0.25">
      <c r="I695" s="84"/>
      <c r="J695" s="84"/>
      <c r="K695" s="84"/>
      <c r="N695" s="84"/>
      <c r="R695" s="84"/>
      <c r="S695" s="84"/>
      <c r="W695" s="84"/>
      <c r="Y695" s="84"/>
      <c r="AB695" s="84"/>
      <c r="AC695" s="84"/>
      <c r="AH695" s="84"/>
      <c r="AI695" s="84"/>
      <c r="AJ695" s="84"/>
      <c r="AK695" s="84"/>
    </row>
    <row r="696" spans="9:37" ht="12.75" customHeight="1" x14ac:dyDescent="0.25">
      <c r="I696" s="84"/>
      <c r="J696" s="84"/>
      <c r="K696" s="84"/>
      <c r="N696" s="84"/>
      <c r="R696" s="84"/>
      <c r="S696" s="84"/>
      <c r="W696" s="84"/>
      <c r="Y696" s="84"/>
      <c r="AB696" s="84"/>
      <c r="AC696" s="84"/>
      <c r="AH696" s="84"/>
      <c r="AI696" s="84"/>
      <c r="AJ696" s="84"/>
      <c r="AK696" s="84"/>
    </row>
    <row r="697" spans="9:37" ht="12.75" customHeight="1" x14ac:dyDescent="0.25">
      <c r="I697" s="84"/>
      <c r="J697" s="84"/>
      <c r="K697" s="84"/>
      <c r="N697" s="84"/>
      <c r="R697" s="84"/>
      <c r="S697" s="84"/>
      <c r="W697" s="84"/>
      <c r="Y697" s="84"/>
      <c r="AB697" s="84"/>
      <c r="AC697" s="84"/>
      <c r="AH697" s="84"/>
      <c r="AI697" s="84"/>
      <c r="AJ697" s="84"/>
      <c r="AK697" s="84"/>
    </row>
    <row r="698" spans="9:37" ht="12.75" customHeight="1" x14ac:dyDescent="0.25">
      <c r="I698" s="84"/>
      <c r="J698" s="84"/>
      <c r="K698" s="84"/>
      <c r="N698" s="84"/>
      <c r="R698" s="84"/>
      <c r="S698" s="84"/>
      <c r="W698" s="84"/>
      <c r="Y698" s="84"/>
      <c r="AB698" s="84"/>
      <c r="AC698" s="84"/>
      <c r="AH698" s="84"/>
      <c r="AI698" s="84"/>
      <c r="AJ698" s="84"/>
      <c r="AK698" s="84"/>
    </row>
    <row r="699" spans="9:37" ht="12.75" customHeight="1" x14ac:dyDescent="0.25">
      <c r="I699" s="84"/>
      <c r="J699" s="84"/>
      <c r="K699" s="84"/>
      <c r="N699" s="84"/>
      <c r="R699" s="84"/>
      <c r="S699" s="84"/>
      <c r="W699" s="84"/>
      <c r="Y699" s="84"/>
      <c r="AB699" s="84"/>
      <c r="AC699" s="84"/>
      <c r="AH699" s="84"/>
      <c r="AI699" s="84"/>
      <c r="AJ699" s="84"/>
      <c r="AK699" s="84"/>
    </row>
    <row r="700" spans="9:37" ht="12.75" customHeight="1" x14ac:dyDescent="0.25">
      <c r="I700" s="84"/>
      <c r="J700" s="84"/>
      <c r="K700" s="84"/>
      <c r="N700" s="84"/>
      <c r="R700" s="84"/>
      <c r="S700" s="84"/>
      <c r="W700" s="84"/>
      <c r="Y700" s="84"/>
      <c r="AB700" s="84"/>
      <c r="AC700" s="84"/>
      <c r="AH700" s="84"/>
      <c r="AI700" s="84"/>
      <c r="AJ700" s="84"/>
      <c r="AK700" s="84"/>
    </row>
    <row r="701" spans="9:37" ht="12.75" customHeight="1" x14ac:dyDescent="0.25">
      <c r="I701" s="84"/>
      <c r="J701" s="84"/>
      <c r="K701" s="84"/>
      <c r="N701" s="84"/>
      <c r="R701" s="84"/>
      <c r="S701" s="84"/>
      <c r="W701" s="84"/>
      <c r="Y701" s="84"/>
      <c r="AB701" s="84"/>
      <c r="AC701" s="84"/>
      <c r="AH701" s="84"/>
      <c r="AI701" s="84"/>
      <c r="AJ701" s="84"/>
      <c r="AK701" s="84"/>
    </row>
    <row r="702" spans="9:37" ht="12.75" customHeight="1" x14ac:dyDescent="0.25">
      <c r="I702" s="84"/>
      <c r="J702" s="84"/>
      <c r="K702" s="84"/>
      <c r="N702" s="84"/>
      <c r="R702" s="84"/>
      <c r="S702" s="84"/>
      <c r="W702" s="84"/>
      <c r="Y702" s="84"/>
      <c r="AB702" s="84"/>
      <c r="AC702" s="84"/>
      <c r="AH702" s="84"/>
      <c r="AI702" s="84"/>
      <c r="AJ702" s="84"/>
      <c r="AK702" s="84"/>
    </row>
    <row r="703" spans="9:37" ht="12.75" customHeight="1" x14ac:dyDescent="0.25">
      <c r="I703" s="84"/>
      <c r="J703" s="84"/>
      <c r="K703" s="84"/>
      <c r="N703" s="84"/>
      <c r="R703" s="84"/>
      <c r="S703" s="84"/>
      <c r="W703" s="84"/>
      <c r="Y703" s="84"/>
      <c r="AB703" s="84"/>
      <c r="AC703" s="84"/>
      <c r="AH703" s="84"/>
      <c r="AI703" s="84"/>
      <c r="AJ703" s="84"/>
      <c r="AK703" s="84"/>
    </row>
    <row r="704" spans="9:37" ht="12.75" customHeight="1" x14ac:dyDescent="0.25">
      <c r="I704" s="84"/>
      <c r="J704" s="84"/>
      <c r="K704" s="84"/>
      <c r="N704" s="84"/>
      <c r="R704" s="84"/>
      <c r="S704" s="84"/>
      <c r="W704" s="84"/>
      <c r="Y704" s="84"/>
      <c r="AB704" s="84"/>
      <c r="AC704" s="84"/>
      <c r="AH704" s="84"/>
      <c r="AI704" s="84"/>
      <c r="AJ704" s="84"/>
      <c r="AK704" s="84"/>
    </row>
    <row r="705" spans="9:37" ht="12.75" customHeight="1" x14ac:dyDescent="0.25">
      <c r="I705" s="84"/>
      <c r="J705" s="84"/>
      <c r="K705" s="84"/>
      <c r="N705" s="84"/>
      <c r="R705" s="84"/>
      <c r="S705" s="84"/>
      <c r="W705" s="84"/>
      <c r="Y705" s="84"/>
      <c r="AB705" s="84"/>
      <c r="AC705" s="84"/>
      <c r="AH705" s="84"/>
      <c r="AI705" s="84"/>
      <c r="AJ705" s="84"/>
      <c r="AK705" s="84"/>
    </row>
    <row r="706" spans="9:37" ht="12.75" customHeight="1" x14ac:dyDescent="0.25">
      <c r="I706" s="84"/>
      <c r="J706" s="84"/>
      <c r="K706" s="84"/>
      <c r="N706" s="84"/>
      <c r="R706" s="84"/>
      <c r="S706" s="84"/>
      <c r="W706" s="84"/>
      <c r="Y706" s="84"/>
      <c r="AB706" s="84"/>
      <c r="AC706" s="84"/>
      <c r="AH706" s="84"/>
      <c r="AI706" s="84"/>
      <c r="AJ706" s="84"/>
      <c r="AK706" s="84"/>
    </row>
    <row r="707" spans="9:37" ht="12.75" customHeight="1" x14ac:dyDescent="0.25">
      <c r="I707" s="84"/>
      <c r="J707" s="84"/>
      <c r="K707" s="84"/>
      <c r="N707" s="84"/>
      <c r="R707" s="84"/>
      <c r="S707" s="84"/>
      <c r="W707" s="84"/>
      <c r="Y707" s="84"/>
      <c r="AB707" s="84"/>
      <c r="AC707" s="84"/>
      <c r="AH707" s="84"/>
      <c r="AI707" s="84"/>
      <c r="AJ707" s="84"/>
      <c r="AK707" s="84"/>
    </row>
    <row r="708" spans="9:37" ht="12.75" customHeight="1" x14ac:dyDescent="0.25">
      <c r="I708" s="84"/>
      <c r="J708" s="84"/>
      <c r="K708" s="84"/>
      <c r="N708" s="84"/>
      <c r="R708" s="84"/>
      <c r="S708" s="84"/>
      <c r="W708" s="84"/>
      <c r="Y708" s="84"/>
      <c r="AB708" s="84"/>
      <c r="AC708" s="84"/>
      <c r="AH708" s="84"/>
      <c r="AI708" s="84"/>
      <c r="AJ708" s="84"/>
      <c r="AK708" s="84"/>
    </row>
    <row r="709" spans="9:37" ht="12.75" customHeight="1" x14ac:dyDescent="0.25">
      <c r="I709" s="84"/>
      <c r="J709" s="84"/>
      <c r="K709" s="84"/>
      <c r="N709" s="84"/>
      <c r="R709" s="84"/>
      <c r="S709" s="84"/>
      <c r="W709" s="84"/>
      <c r="Y709" s="84"/>
      <c r="AB709" s="84"/>
      <c r="AC709" s="84"/>
      <c r="AH709" s="84"/>
      <c r="AI709" s="84"/>
      <c r="AJ709" s="84"/>
      <c r="AK709" s="84"/>
    </row>
    <row r="710" spans="9:37" ht="12.75" customHeight="1" x14ac:dyDescent="0.25">
      <c r="I710" s="84"/>
      <c r="J710" s="84"/>
      <c r="K710" s="84"/>
      <c r="N710" s="84"/>
      <c r="R710" s="84"/>
      <c r="S710" s="84"/>
      <c r="W710" s="84"/>
      <c r="Y710" s="84"/>
      <c r="AB710" s="84"/>
      <c r="AC710" s="84"/>
      <c r="AH710" s="84"/>
      <c r="AI710" s="84"/>
      <c r="AJ710" s="84"/>
      <c r="AK710" s="84"/>
    </row>
    <row r="711" spans="9:37" ht="12.75" customHeight="1" x14ac:dyDescent="0.25">
      <c r="I711" s="84"/>
      <c r="J711" s="84"/>
      <c r="K711" s="84"/>
      <c r="N711" s="84"/>
      <c r="R711" s="84"/>
      <c r="S711" s="84"/>
      <c r="W711" s="84"/>
      <c r="Y711" s="84"/>
      <c r="AB711" s="84"/>
      <c r="AC711" s="84"/>
      <c r="AH711" s="84"/>
      <c r="AI711" s="84"/>
      <c r="AJ711" s="84"/>
      <c r="AK711" s="84"/>
    </row>
    <row r="712" spans="9:37" ht="12.75" customHeight="1" x14ac:dyDescent="0.25">
      <c r="I712" s="84"/>
      <c r="J712" s="84"/>
      <c r="K712" s="84"/>
      <c r="N712" s="84"/>
      <c r="R712" s="84"/>
      <c r="S712" s="84"/>
      <c r="W712" s="84"/>
      <c r="Y712" s="84"/>
      <c r="AB712" s="84"/>
      <c r="AC712" s="84"/>
      <c r="AH712" s="84"/>
      <c r="AI712" s="84"/>
      <c r="AJ712" s="84"/>
      <c r="AK712" s="84"/>
    </row>
    <row r="713" spans="9:37" ht="12.75" customHeight="1" x14ac:dyDescent="0.25">
      <c r="I713" s="84"/>
      <c r="J713" s="84"/>
      <c r="K713" s="84"/>
      <c r="N713" s="84"/>
      <c r="R713" s="84"/>
      <c r="S713" s="84"/>
      <c r="W713" s="84"/>
      <c r="Y713" s="84"/>
      <c r="AB713" s="84"/>
      <c r="AC713" s="84"/>
      <c r="AH713" s="84"/>
      <c r="AI713" s="84"/>
      <c r="AJ713" s="84"/>
      <c r="AK713" s="84"/>
    </row>
    <row r="714" spans="9:37" ht="12.75" customHeight="1" x14ac:dyDescent="0.25">
      <c r="I714" s="84"/>
      <c r="J714" s="84"/>
      <c r="K714" s="84"/>
      <c r="N714" s="84"/>
      <c r="R714" s="84"/>
      <c r="S714" s="84"/>
      <c r="W714" s="84"/>
      <c r="Y714" s="84"/>
      <c r="AB714" s="84"/>
      <c r="AC714" s="84"/>
      <c r="AH714" s="84"/>
      <c r="AI714" s="84"/>
      <c r="AJ714" s="84"/>
      <c r="AK714" s="84"/>
    </row>
    <row r="715" spans="9:37" ht="12.75" customHeight="1" x14ac:dyDescent="0.25">
      <c r="I715" s="84"/>
      <c r="J715" s="84"/>
      <c r="K715" s="84"/>
      <c r="N715" s="84"/>
      <c r="R715" s="84"/>
      <c r="S715" s="84"/>
      <c r="W715" s="84"/>
      <c r="Y715" s="84"/>
      <c r="AB715" s="84"/>
      <c r="AC715" s="84"/>
      <c r="AH715" s="84"/>
      <c r="AI715" s="84"/>
      <c r="AJ715" s="84"/>
      <c r="AK715" s="84"/>
    </row>
    <row r="716" spans="9:37" ht="12.75" customHeight="1" x14ac:dyDescent="0.25">
      <c r="I716" s="84"/>
      <c r="J716" s="84"/>
      <c r="K716" s="84"/>
      <c r="N716" s="84"/>
      <c r="R716" s="84"/>
      <c r="S716" s="84"/>
      <c r="W716" s="84"/>
      <c r="Y716" s="84"/>
      <c r="AB716" s="84"/>
      <c r="AC716" s="84"/>
      <c r="AH716" s="84"/>
      <c r="AI716" s="84"/>
      <c r="AJ716" s="84"/>
      <c r="AK716" s="84"/>
    </row>
    <row r="717" spans="9:37" ht="12.75" customHeight="1" x14ac:dyDescent="0.25">
      <c r="I717" s="84"/>
      <c r="J717" s="84"/>
      <c r="K717" s="84"/>
      <c r="N717" s="84"/>
      <c r="R717" s="84"/>
      <c r="S717" s="84"/>
      <c r="W717" s="84"/>
      <c r="Y717" s="84"/>
      <c r="AB717" s="84"/>
      <c r="AC717" s="84"/>
      <c r="AH717" s="84"/>
      <c r="AI717" s="84"/>
      <c r="AJ717" s="84"/>
      <c r="AK717" s="84"/>
    </row>
    <row r="718" spans="9:37" ht="12.75" customHeight="1" x14ac:dyDescent="0.25">
      <c r="I718" s="84"/>
      <c r="J718" s="84"/>
      <c r="K718" s="84"/>
      <c r="N718" s="84"/>
      <c r="R718" s="84"/>
      <c r="S718" s="84"/>
      <c r="W718" s="84"/>
      <c r="Y718" s="84"/>
      <c r="AB718" s="84"/>
      <c r="AC718" s="84"/>
      <c r="AH718" s="84"/>
      <c r="AI718" s="84"/>
      <c r="AJ718" s="84"/>
      <c r="AK718" s="84"/>
    </row>
    <row r="719" spans="9:37" ht="12.75" customHeight="1" x14ac:dyDescent="0.25">
      <c r="I719" s="84"/>
      <c r="J719" s="84"/>
      <c r="K719" s="84"/>
      <c r="N719" s="84"/>
      <c r="R719" s="84"/>
      <c r="S719" s="84"/>
      <c r="W719" s="84"/>
      <c r="Y719" s="84"/>
      <c r="AB719" s="84"/>
      <c r="AC719" s="84"/>
      <c r="AH719" s="84"/>
      <c r="AI719" s="84"/>
      <c r="AJ719" s="84"/>
      <c r="AK719" s="84"/>
    </row>
    <row r="720" spans="9:37" ht="12.75" customHeight="1" x14ac:dyDescent="0.25">
      <c r="I720" s="84"/>
      <c r="J720" s="84"/>
      <c r="K720" s="84"/>
      <c r="N720" s="84"/>
      <c r="R720" s="84"/>
      <c r="S720" s="84"/>
      <c r="W720" s="84"/>
      <c r="Y720" s="84"/>
      <c r="AB720" s="84"/>
      <c r="AC720" s="84"/>
      <c r="AH720" s="84"/>
      <c r="AI720" s="84"/>
      <c r="AJ720" s="84"/>
      <c r="AK720" s="84"/>
    </row>
    <row r="721" spans="9:37" ht="12.75" customHeight="1" x14ac:dyDescent="0.25">
      <c r="I721" s="84"/>
      <c r="J721" s="84"/>
      <c r="K721" s="84"/>
      <c r="N721" s="84"/>
      <c r="R721" s="84"/>
      <c r="S721" s="84"/>
      <c r="W721" s="84"/>
      <c r="Y721" s="84"/>
      <c r="AB721" s="84"/>
      <c r="AC721" s="84"/>
      <c r="AH721" s="84"/>
      <c r="AI721" s="84"/>
      <c r="AJ721" s="84"/>
      <c r="AK721" s="84"/>
    </row>
    <row r="722" spans="9:37" ht="12.75" customHeight="1" x14ac:dyDescent="0.25">
      <c r="I722" s="84"/>
      <c r="J722" s="84"/>
      <c r="K722" s="84"/>
      <c r="N722" s="84"/>
      <c r="R722" s="84"/>
      <c r="S722" s="84"/>
      <c r="W722" s="84"/>
      <c r="Y722" s="84"/>
      <c r="AB722" s="84"/>
      <c r="AC722" s="84"/>
      <c r="AH722" s="84"/>
      <c r="AI722" s="84"/>
      <c r="AJ722" s="84"/>
      <c r="AK722" s="84"/>
    </row>
    <row r="723" spans="9:37" ht="12.75" customHeight="1" x14ac:dyDescent="0.25">
      <c r="I723" s="84"/>
      <c r="J723" s="84"/>
      <c r="K723" s="84"/>
      <c r="N723" s="84"/>
      <c r="R723" s="84"/>
      <c r="S723" s="84"/>
      <c r="W723" s="84"/>
      <c r="Y723" s="84"/>
      <c r="AB723" s="84"/>
      <c r="AC723" s="84"/>
      <c r="AH723" s="84"/>
      <c r="AI723" s="84"/>
      <c r="AJ723" s="84"/>
      <c r="AK723" s="84"/>
    </row>
    <row r="724" spans="9:37" ht="12.75" customHeight="1" x14ac:dyDescent="0.25">
      <c r="I724" s="84"/>
      <c r="J724" s="84"/>
      <c r="K724" s="84"/>
      <c r="N724" s="84"/>
      <c r="R724" s="84"/>
      <c r="S724" s="84"/>
      <c r="W724" s="84"/>
      <c r="Y724" s="84"/>
      <c r="AB724" s="84"/>
      <c r="AC724" s="84"/>
      <c r="AH724" s="84"/>
      <c r="AI724" s="84"/>
      <c r="AJ724" s="84"/>
      <c r="AK724" s="84"/>
    </row>
    <row r="725" spans="9:37" ht="12.75" customHeight="1" x14ac:dyDescent="0.25">
      <c r="I725" s="84"/>
      <c r="J725" s="84"/>
      <c r="K725" s="84"/>
      <c r="N725" s="84"/>
      <c r="R725" s="84"/>
      <c r="S725" s="84"/>
      <c r="W725" s="84"/>
      <c r="Y725" s="84"/>
      <c r="AB725" s="84"/>
      <c r="AC725" s="84"/>
      <c r="AH725" s="84"/>
      <c r="AI725" s="84"/>
      <c r="AJ725" s="84"/>
      <c r="AK725" s="84"/>
    </row>
    <row r="726" spans="9:37" ht="12.75" customHeight="1" x14ac:dyDescent="0.25">
      <c r="I726" s="84"/>
      <c r="J726" s="84"/>
      <c r="K726" s="84"/>
      <c r="N726" s="84"/>
      <c r="R726" s="84"/>
      <c r="S726" s="84"/>
      <c r="W726" s="84"/>
      <c r="Y726" s="84"/>
      <c r="AB726" s="84"/>
      <c r="AC726" s="84"/>
      <c r="AH726" s="84"/>
      <c r="AI726" s="84"/>
      <c r="AJ726" s="84"/>
      <c r="AK726" s="84"/>
    </row>
    <row r="727" spans="9:37" ht="12.75" customHeight="1" x14ac:dyDescent="0.25">
      <c r="I727" s="84"/>
      <c r="J727" s="84"/>
      <c r="K727" s="84"/>
      <c r="N727" s="84"/>
      <c r="R727" s="84"/>
      <c r="S727" s="84"/>
      <c r="W727" s="84"/>
      <c r="Y727" s="84"/>
      <c r="AB727" s="84"/>
      <c r="AC727" s="84"/>
      <c r="AH727" s="84"/>
      <c r="AI727" s="84"/>
      <c r="AJ727" s="84"/>
      <c r="AK727" s="84"/>
    </row>
    <row r="728" spans="9:37" ht="12.75" customHeight="1" x14ac:dyDescent="0.25">
      <c r="I728" s="84"/>
      <c r="J728" s="84"/>
      <c r="K728" s="84"/>
      <c r="N728" s="84"/>
      <c r="R728" s="84"/>
      <c r="S728" s="84"/>
      <c r="W728" s="84"/>
      <c r="Y728" s="84"/>
      <c r="AB728" s="84"/>
      <c r="AC728" s="84"/>
      <c r="AH728" s="84"/>
      <c r="AI728" s="84"/>
      <c r="AJ728" s="84"/>
      <c r="AK728" s="84"/>
    </row>
    <row r="729" spans="9:37" ht="12.75" customHeight="1" x14ac:dyDescent="0.25">
      <c r="I729" s="84"/>
      <c r="J729" s="84"/>
      <c r="K729" s="84"/>
      <c r="N729" s="84"/>
      <c r="R729" s="84"/>
      <c r="S729" s="84"/>
      <c r="W729" s="84"/>
      <c r="Y729" s="84"/>
      <c r="AB729" s="84"/>
      <c r="AC729" s="84"/>
      <c r="AH729" s="84"/>
      <c r="AI729" s="84"/>
      <c r="AJ729" s="84"/>
      <c r="AK729" s="84"/>
    </row>
    <row r="730" spans="9:37" ht="12.75" customHeight="1" x14ac:dyDescent="0.25">
      <c r="I730" s="84"/>
      <c r="J730" s="84"/>
      <c r="K730" s="84"/>
      <c r="N730" s="84"/>
      <c r="R730" s="84"/>
      <c r="S730" s="84"/>
      <c r="W730" s="84"/>
      <c r="Y730" s="84"/>
      <c r="AB730" s="84"/>
      <c r="AC730" s="84"/>
      <c r="AH730" s="84"/>
      <c r="AI730" s="84"/>
      <c r="AJ730" s="84"/>
      <c r="AK730" s="84"/>
    </row>
    <row r="731" spans="9:37" ht="12.75" customHeight="1" x14ac:dyDescent="0.25">
      <c r="I731" s="84"/>
      <c r="J731" s="84"/>
      <c r="K731" s="84"/>
      <c r="N731" s="84"/>
      <c r="R731" s="84"/>
      <c r="S731" s="84"/>
      <c r="W731" s="84"/>
      <c r="Y731" s="84"/>
      <c r="AB731" s="84"/>
      <c r="AC731" s="84"/>
      <c r="AH731" s="84"/>
      <c r="AI731" s="84"/>
      <c r="AJ731" s="84"/>
      <c r="AK731" s="84"/>
    </row>
    <row r="732" spans="9:37" ht="12.75" customHeight="1" x14ac:dyDescent="0.25">
      <c r="I732" s="84"/>
      <c r="J732" s="84"/>
      <c r="K732" s="84"/>
      <c r="N732" s="84"/>
      <c r="R732" s="84"/>
      <c r="S732" s="84"/>
      <c r="W732" s="84"/>
      <c r="Y732" s="84"/>
      <c r="AB732" s="84"/>
      <c r="AC732" s="84"/>
      <c r="AH732" s="84"/>
      <c r="AI732" s="84"/>
      <c r="AJ732" s="84"/>
      <c r="AK732" s="84"/>
    </row>
    <row r="733" spans="9:37" ht="12.75" customHeight="1" x14ac:dyDescent="0.25">
      <c r="I733" s="84"/>
      <c r="J733" s="84"/>
      <c r="K733" s="84"/>
      <c r="N733" s="84"/>
      <c r="R733" s="84"/>
      <c r="S733" s="84"/>
      <c r="W733" s="84"/>
      <c r="Y733" s="84"/>
      <c r="AB733" s="84"/>
      <c r="AC733" s="84"/>
      <c r="AH733" s="84"/>
      <c r="AI733" s="84"/>
      <c r="AJ733" s="84"/>
      <c r="AK733" s="84"/>
    </row>
    <row r="734" spans="9:37" ht="12.75" customHeight="1" x14ac:dyDescent="0.25">
      <c r="I734" s="84"/>
      <c r="J734" s="84"/>
      <c r="K734" s="84"/>
      <c r="N734" s="84"/>
      <c r="R734" s="84"/>
      <c r="S734" s="84"/>
      <c r="W734" s="84"/>
      <c r="Y734" s="84"/>
      <c r="AB734" s="84"/>
      <c r="AC734" s="84"/>
      <c r="AH734" s="84"/>
      <c r="AI734" s="84"/>
      <c r="AJ734" s="84"/>
      <c r="AK734" s="84"/>
    </row>
    <row r="735" spans="9:37" ht="12.75" customHeight="1" x14ac:dyDescent="0.25">
      <c r="I735" s="84"/>
      <c r="J735" s="84"/>
      <c r="K735" s="84"/>
      <c r="N735" s="84"/>
      <c r="R735" s="84"/>
      <c r="S735" s="84"/>
      <c r="W735" s="84"/>
      <c r="Y735" s="84"/>
      <c r="AB735" s="84"/>
      <c r="AC735" s="84"/>
      <c r="AH735" s="84"/>
      <c r="AI735" s="84"/>
      <c r="AJ735" s="84"/>
      <c r="AK735" s="84"/>
    </row>
    <row r="736" spans="9:37" ht="12.75" customHeight="1" x14ac:dyDescent="0.25">
      <c r="I736" s="84"/>
      <c r="J736" s="84"/>
      <c r="K736" s="84"/>
      <c r="N736" s="84"/>
      <c r="R736" s="84"/>
      <c r="S736" s="84"/>
      <c r="W736" s="84"/>
      <c r="Y736" s="84"/>
      <c r="AB736" s="84"/>
      <c r="AC736" s="84"/>
      <c r="AH736" s="84"/>
      <c r="AI736" s="84"/>
      <c r="AJ736" s="84"/>
      <c r="AK736" s="84"/>
    </row>
    <row r="737" spans="9:37" ht="12.75" customHeight="1" x14ac:dyDescent="0.25">
      <c r="I737" s="84"/>
      <c r="J737" s="84"/>
      <c r="K737" s="84"/>
      <c r="N737" s="84"/>
      <c r="R737" s="84"/>
      <c r="S737" s="84"/>
      <c r="W737" s="84"/>
      <c r="Y737" s="84"/>
      <c r="AB737" s="84"/>
      <c r="AC737" s="84"/>
      <c r="AH737" s="84"/>
      <c r="AI737" s="84"/>
      <c r="AJ737" s="84"/>
      <c r="AK737" s="84"/>
    </row>
    <row r="738" spans="9:37" ht="12.75" customHeight="1" x14ac:dyDescent="0.25">
      <c r="I738" s="84"/>
      <c r="J738" s="84"/>
      <c r="K738" s="84"/>
      <c r="N738" s="84"/>
      <c r="R738" s="84"/>
      <c r="S738" s="84"/>
      <c r="W738" s="84"/>
      <c r="Y738" s="84"/>
      <c r="AB738" s="84"/>
      <c r="AC738" s="84"/>
      <c r="AH738" s="84"/>
      <c r="AI738" s="84"/>
      <c r="AJ738" s="84"/>
      <c r="AK738" s="84"/>
    </row>
    <row r="739" spans="9:37" ht="12.75" customHeight="1" x14ac:dyDescent="0.25">
      <c r="I739" s="84"/>
      <c r="J739" s="84"/>
      <c r="K739" s="84"/>
      <c r="N739" s="84"/>
      <c r="R739" s="84"/>
      <c r="S739" s="84"/>
      <c r="W739" s="84"/>
      <c r="Y739" s="84"/>
      <c r="AB739" s="84"/>
      <c r="AC739" s="84"/>
      <c r="AH739" s="84"/>
      <c r="AI739" s="84"/>
      <c r="AJ739" s="84"/>
      <c r="AK739" s="84"/>
    </row>
    <row r="740" spans="9:37" ht="12.75" customHeight="1" x14ac:dyDescent="0.25">
      <c r="I740" s="84"/>
      <c r="J740" s="84"/>
      <c r="K740" s="84"/>
      <c r="N740" s="84"/>
      <c r="R740" s="84"/>
      <c r="S740" s="84"/>
      <c r="W740" s="84"/>
      <c r="Y740" s="84"/>
      <c r="AB740" s="84"/>
      <c r="AC740" s="84"/>
      <c r="AH740" s="84"/>
      <c r="AI740" s="84"/>
      <c r="AJ740" s="84"/>
      <c r="AK740" s="84"/>
    </row>
    <row r="741" spans="9:37" ht="12.75" customHeight="1" x14ac:dyDescent="0.25">
      <c r="I741" s="84"/>
      <c r="J741" s="84"/>
      <c r="K741" s="84"/>
      <c r="N741" s="84"/>
      <c r="R741" s="84"/>
      <c r="S741" s="84"/>
      <c r="W741" s="84"/>
      <c r="Y741" s="84"/>
      <c r="AB741" s="84"/>
      <c r="AC741" s="84"/>
      <c r="AH741" s="84"/>
      <c r="AI741" s="84"/>
      <c r="AJ741" s="84"/>
      <c r="AK741" s="84"/>
    </row>
    <row r="742" spans="9:37" ht="12.75" customHeight="1" x14ac:dyDescent="0.25">
      <c r="I742" s="84"/>
      <c r="J742" s="84"/>
      <c r="K742" s="84"/>
      <c r="N742" s="84"/>
      <c r="R742" s="84"/>
      <c r="S742" s="84"/>
      <c r="W742" s="84"/>
      <c r="Y742" s="84"/>
      <c r="AB742" s="84"/>
      <c r="AC742" s="84"/>
      <c r="AH742" s="84"/>
      <c r="AI742" s="84"/>
      <c r="AJ742" s="84"/>
      <c r="AK742" s="84"/>
    </row>
    <row r="743" spans="9:37" ht="12.75" customHeight="1" x14ac:dyDescent="0.25">
      <c r="I743" s="84"/>
      <c r="J743" s="84"/>
      <c r="K743" s="84"/>
      <c r="N743" s="84"/>
      <c r="R743" s="84"/>
      <c r="S743" s="84"/>
      <c r="W743" s="84"/>
      <c r="Y743" s="84"/>
      <c r="AB743" s="84"/>
      <c r="AC743" s="84"/>
      <c r="AH743" s="84"/>
      <c r="AI743" s="84"/>
      <c r="AJ743" s="84"/>
      <c r="AK743" s="84"/>
    </row>
    <row r="744" spans="9:37" ht="12.75" customHeight="1" x14ac:dyDescent="0.25">
      <c r="I744" s="84"/>
      <c r="J744" s="84"/>
      <c r="K744" s="84"/>
      <c r="N744" s="84"/>
      <c r="R744" s="84"/>
      <c r="S744" s="84"/>
      <c r="W744" s="84"/>
      <c r="Y744" s="84"/>
      <c r="AB744" s="84"/>
      <c r="AC744" s="84"/>
      <c r="AH744" s="84"/>
      <c r="AI744" s="84"/>
      <c r="AJ744" s="84"/>
      <c r="AK744" s="84"/>
    </row>
    <row r="745" spans="9:37" ht="12.75" customHeight="1" x14ac:dyDescent="0.25">
      <c r="I745" s="84"/>
      <c r="J745" s="84"/>
      <c r="K745" s="84"/>
      <c r="N745" s="84"/>
      <c r="R745" s="84"/>
      <c r="S745" s="84"/>
      <c r="W745" s="84"/>
      <c r="Y745" s="84"/>
      <c r="AB745" s="84"/>
      <c r="AC745" s="84"/>
      <c r="AH745" s="84"/>
      <c r="AI745" s="84"/>
      <c r="AJ745" s="84"/>
      <c r="AK745" s="84"/>
    </row>
    <row r="746" spans="9:37" ht="12.75" customHeight="1" x14ac:dyDescent="0.25">
      <c r="I746" s="84"/>
      <c r="J746" s="84"/>
      <c r="K746" s="84"/>
      <c r="N746" s="84"/>
      <c r="R746" s="84"/>
      <c r="S746" s="84"/>
      <c r="W746" s="84"/>
      <c r="Y746" s="84"/>
      <c r="AB746" s="84"/>
      <c r="AC746" s="84"/>
      <c r="AH746" s="84"/>
      <c r="AI746" s="84"/>
      <c r="AJ746" s="84"/>
      <c r="AK746" s="84"/>
    </row>
    <row r="747" spans="9:37" ht="12.75" customHeight="1" x14ac:dyDescent="0.25">
      <c r="I747" s="84"/>
      <c r="J747" s="84"/>
      <c r="K747" s="84"/>
      <c r="N747" s="84"/>
      <c r="R747" s="84"/>
      <c r="S747" s="84"/>
      <c r="W747" s="84"/>
      <c r="Y747" s="84"/>
      <c r="AB747" s="84"/>
      <c r="AC747" s="84"/>
      <c r="AH747" s="84"/>
      <c r="AI747" s="84"/>
      <c r="AJ747" s="84"/>
      <c r="AK747" s="84"/>
    </row>
    <row r="748" spans="9:37" ht="12.75" customHeight="1" x14ac:dyDescent="0.25">
      <c r="I748" s="84"/>
      <c r="J748" s="84"/>
      <c r="K748" s="84"/>
      <c r="N748" s="84"/>
      <c r="R748" s="84"/>
      <c r="S748" s="84"/>
      <c r="W748" s="84"/>
      <c r="Y748" s="84"/>
      <c r="AB748" s="84"/>
      <c r="AC748" s="84"/>
      <c r="AH748" s="84"/>
      <c r="AI748" s="84"/>
      <c r="AJ748" s="84"/>
      <c r="AK748" s="84"/>
    </row>
    <row r="749" spans="9:37" ht="12.75" customHeight="1" x14ac:dyDescent="0.25">
      <c r="I749" s="84"/>
      <c r="J749" s="84"/>
      <c r="K749" s="84"/>
      <c r="N749" s="84"/>
      <c r="R749" s="84"/>
      <c r="S749" s="84"/>
      <c r="W749" s="84"/>
      <c r="Y749" s="84"/>
      <c r="AB749" s="84"/>
      <c r="AC749" s="84"/>
      <c r="AH749" s="84"/>
      <c r="AI749" s="84"/>
      <c r="AJ749" s="84"/>
      <c r="AK749" s="84"/>
    </row>
    <row r="750" spans="9:37" ht="12.75" customHeight="1" x14ac:dyDescent="0.25">
      <c r="I750" s="84"/>
      <c r="J750" s="84"/>
      <c r="K750" s="84"/>
      <c r="N750" s="84"/>
      <c r="R750" s="84"/>
      <c r="S750" s="84"/>
      <c r="W750" s="84"/>
      <c r="Y750" s="84"/>
      <c r="AB750" s="84"/>
      <c r="AC750" s="84"/>
      <c r="AH750" s="84"/>
      <c r="AI750" s="84"/>
      <c r="AJ750" s="84"/>
      <c r="AK750" s="84"/>
    </row>
    <row r="751" spans="9:37" ht="12.75" customHeight="1" x14ac:dyDescent="0.25">
      <c r="I751" s="84"/>
      <c r="J751" s="84"/>
      <c r="K751" s="84"/>
      <c r="N751" s="84"/>
      <c r="R751" s="84"/>
      <c r="S751" s="84"/>
      <c r="W751" s="84"/>
      <c r="Y751" s="84"/>
      <c r="AB751" s="84"/>
      <c r="AC751" s="84"/>
      <c r="AH751" s="84"/>
      <c r="AI751" s="84"/>
      <c r="AJ751" s="84"/>
      <c r="AK751" s="84"/>
    </row>
    <row r="752" spans="9:37" ht="12.75" customHeight="1" x14ac:dyDescent="0.25">
      <c r="I752" s="84"/>
      <c r="J752" s="84"/>
      <c r="K752" s="84"/>
      <c r="N752" s="84"/>
      <c r="R752" s="84"/>
      <c r="S752" s="84"/>
      <c r="W752" s="84"/>
      <c r="Y752" s="84"/>
      <c r="AB752" s="84"/>
      <c r="AC752" s="84"/>
      <c r="AH752" s="84"/>
      <c r="AI752" s="84"/>
      <c r="AJ752" s="84"/>
      <c r="AK752" s="84"/>
    </row>
    <row r="753" spans="9:37" ht="12.75" customHeight="1" x14ac:dyDescent="0.25">
      <c r="I753" s="84"/>
      <c r="J753" s="84"/>
      <c r="K753" s="84"/>
      <c r="N753" s="84"/>
      <c r="R753" s="84"/>
      <c r="S753" s="84"/>
      <c r="W753" s="84"/>
      <c r="Y753" s="84"/>
      <c r="AB753" s="84"/>
      <c r="AC753" s="84"/>
      <c r="AH753" s="84"/>
      <c r="AI753" s="84"/>
      <c r="AJ753" s="84"/>
      <c r="AK753" s="84"/>
    </row>
    <row r="754" spans="9:37" ht="12.75" customHeight="1" x14ac:dyDescent="0.25">
      <c r="I754" s="84"/>
      <c r="J754" s="84"/>
      <c r="K754" s="84"/>
      <c r="N754" s="84"/>
      <c r="R754" s="84"/>
      <c r="S754" s="84"/>
      <c r="W754" s="84"/>
      <c r="Y754" s="84"/>
      <c r="AB754" s="84"/>
      <c r="AC754" s="84"/>
      <c r="AH754" s="84"/>
      <c r="AI754" s="84"/>
      <c r="AJ754" s="84"/>
      <c r="AK754" s="84"/>
    </row>
    <row r="755" spans="9:37" ht="12.75" customHeight="1" x14ac:dyDescent="0.25">
      <c r="I755" s="84"/>
      <c r="J755" s="84"/>
      <c r="K755" s="84"/>
      <c r="N755" s="84"/>
      <c r="R755" s="84"/>
      <c r="S755" s="84"/>
      <c r="W755" s="84"/>
      <c r="Y755" s="84"/>
      <c r="AB755" s="84"/>
      <c r="AC755" s="84"/>
      <c r="AH755" s="84"/>
      <c r="AI755" s="84"/>
      <c r="AJ755" s="84"/>
      <c r="AK755" s="84"/>
    </row>
    <row r="756" spans="9:37" ht="12.75" customHeight="1" x14ac:dyDescent="0.25">
      <c r="I756" s="84"/>
      <c r="J756" s="84"/>
      <c r="K756" s="84"/>
      <c r="N756" s="84"/>
      <c r="R756" s="84"/>
      <c r="S756" s="84"/>
      <c r="W756" s="84"/>
      <c r="Y756" s="84"/>
      <c r="AB756" s="84"/>
      <c r="AC756" s="84"/>
      <c r="AH756" s="84"/>
      <c r="AI756" s="84"/>
      <c r="AJ756" s="84"/>
      <c r="AK756" s="84"/>
    </row>
    <row r="757" spans="9:37" ht="12.75" customHeight="1" x14ac:dyDescent="0.25">
      <c r="I757" s="84"/>
      <c r="J757" s="84"/>
      <c r="K757" s="84"/>
      <c r="N757" s="84"/>
      <c r="R757" s="84"/>
      <c r="S757" s="84"/>
      <c r="W757" s="84"/>
      <c r="Y757" s="84"/>
      <c r="AB757" s="84"/>
      <c r="AC757" s="84"/>
      <c r="AH757" s="84"/>
      <c r="AI757" s="84"/>
      <c r="AJ757" s="84"/>
      <c r="AK757" s="84"/>
    </row>
    <row r="758" spans="9:37" ht="12.75" customHeight="1" x14ac:dyDescent="0.25">
      <c r="I758" s="84"/>
      <c r="J758" s="84"/>
      <c r="K758" s="84"/>
      <c r="N758" s="84"/>
      <c r="R758" s="84"/>
      <c r="S758" s="84"/>
      <c r="W758" s="84"/>
      <c r="Y758" s="84"/>
      <c r="AB758" s="84"/>
      <c r="AC758" s="84"/>
      <c r="AH758" s="84"/>
      <c r="AI758" s="84"/>
      <c r="AJ758" s="84"/>
      <c r="AK758" s="84"/>
    </row>
    <row r="759" spans="9:37" ht="12.75" customHeight="1" x14ac:dyDescent="0.25">
      <c r="I759" s="84"/>
      <c r="J759" s="84"/>
      <c r="K759" s="84"/>
      <c r="N759" s="84"/>
      <c r="R759" s="84"/>
      <c r="S759" s="84"/>
      <c r="W759" s="84"/>
      <c r="Y759" s="84"/>
      <c r="AB759" s="84"/>
      <c r="AC759" s="84"/>
      <c r="AH759" s="84"/>
      <c r="AI759" s="84"/>
      <c r="AJ759" s="84"/>
      <c r="AK759" s="84"/>
    </row>
    <row r="760" spans="9:37" ht="12.75" customHeight="1" x14ac:dyDescent="0.25">
      <c r="I760" s="84"/>
      <c r="J760" s="84"/>
      <c r="K760" s="84"/>
      <c r="N760" s="84"/>
      <c r="R760" s="84"/>
      <c r="S760" s="84"/>
      <c r="W760" s="84"/>
      <c r="Y760" s="84"/>
      <c r="AB760" s="84"/>
      <c r="AC760" s="84"/>
      <c r="AH760" s="84"/>
      <c r="AI760" s="84"/>
      <c r="AJ760" s="84"/>
      <c r="AK760" s="84"/>
    </row>
    <row r="761" spans="9:37" ht="12.75" customHeight="1" x14ac:dyDescent="0.25">
      <c r="I761" s="84"/>
      <c r="J761" s="84"/>
      <c r="K761" s="84"/>
      <c r="N761" s="84"/>
      <c r="R761" s="84"/>
      <c r="S761" s="84"/>
      <c r="W761" s="84"/>
      <c r="Y761" s="84"/>
      <c r="AB761" s="84"/>
      <c r="AC761" s="84"/>
      <c r="AH761" s="84"/>
      <c r="AI761" s="84"/>
      <c r="AJ761" s="84"/>
      <c r="AK761" s="84"/>
    </row>
    <row r="762" spans="9:37" ht="12.75" customHeight="1" x14ac:dyDescent="0.25">
      <c r="I762" s="84"/>
      <c r="J762" s="84"/>
      <c r="K762" s="84"/>
      <c r="N762" s="84"/>
      <c r="R762" s="84"/>
      <c r="S762" s="84"/>
      <c r="W762" s="84"/>
      <c r="Y762" s="84"/>
      <c r="AB762" s="84"/>
      <c r="AC762" s="84"/>
      <c r="AH762" s="84"/>
      <c r="AI762" s="84"/>
      <c r="AJ762" s="84"/>
      <c r="AK762" s="84"/>
    </row>
    <row r="763" spans="9:37" ht="12.75" customHeight="1" x14ac:dyDescent="0.25">
      <c r="I763" s="84"/>
      <c r="J763" s="84"/>
      <c r="K763" s="84"/>
      <c r="N763" s="84"/>
      <c r="R763" s="84"/>
      <c r="S763" s="84"/>
      <c r="W763" s="84"/>
      <c r="Y763" s="84"/>
      <c r="AB763" s="84"/>
      <c r="AC763" s="84"/>
      <c r="AH763" s="84"/>
      <c r="AI763" s="84"/>
      <c r="AJ763" s="84"/>
      <c r="AK763" s="84"/>
    </row>
    <row r="764" spans="9:37" ht="12.75" customHeight="1" x14ac:dyDescent="0.25">
      <c r="I764" s="84"/>
      <c r="J764" s="84"/>
      <c r="K764" s="84"/>
      <c r="N764" s="84"/>
      <c r="R764" s="84"/>
      <c r="S764" s="84"/>
      <c r="W764" s="84"/>
      <c r="Y764" s="84"/>
      <c r="AB764" s="84"/>
      <c r="AC764" s="84"/>
      <c r="AH764" s="84"/>
      <c r="AI764" s="84"/>
      <c r="AJ764" s="84"/>
      <c r="AK764" s="84"/>
    </row>
    <row r="765" spans="9:37" ht="12.75" customHeight="1" x14ac:dyDescent="0.25">
      <c r="I765" s="84"/>
      <c r="J765" s="84"/>
      <c r="K765" s="84"/>
      <c r="N765" s="84"/>
      <c r="R765" s="84"/>
      <c r="S765" s="84"/>
      <c r="W765" s="84"/>
      <c r="Y765" s="84"/>
      <c r="AB765" s="84"/>
      <c r="AC765" s="84"/>
      <c r="AH765" s="84"/>
      <c r="AI765" s="84"/>
      <c r="AJ765" s="84"/>
      <c r="AK765" s="84"/>
    </row>
    <row r="766" spans="9:37" ht="12.75" customHeight="1" x14ac:dyDescent="0.25">
      <c r="I766" s="84"/>
      <c r="J766" s="84"/>
      <c r="K766" s="84"/>
      <c r="N766" s="84"/>
      <c r="R766" s="84"/>
      <c r="S766" s="84"/>
      <c r="W766" s="84"/>
      <c r="Y766" s="84"/>
      <c r="AB766" s="84"/>
      <c r="AC766" s="84"/>
      <c r="AH766" s="84"/>
      <c r="AI766" s="84"/>
      <c r="AJ766" s="84"/>
      <c r="AK766" s="84"/>
    </row>
    <row r="767" spans="9:37" ht="12.75" customHeight="1" x14ac:dyDescent="0.25">
      <c r="I767" s="84"/>
      <c r="J767" s="84"/>
      <c r="K767" s="84"/>
      <c r="N767" s="84"/>
      <c r="R767" s="84"/>
      <c r="S767" s="84"/>
      <c r="W767" s="84"/>
      <c r="Y767" s="84"/>
      <c r="AB767" s="84"/>
      <c r="AC767" s="84"/>
      <c r="AH767" s="84"/>
      <c r="AI767" s="84"/>
      <c r="AJ767" s="84"/>
      <c r="AK767" s="84"/>
    </row>
    <row r="768" spans="9:37" ht="12.75" customHeight="1" x14ac:dyDescent="0.25">
      <c r="I768" s="84"/>
      <c r="J768" s="84"/>
      <c r="K768" s="84"/>
      <c r="N768" s="84"/>
      <c r="R768" s="84"/>
      <c r="S768" s="84"/>
      <c r="W768" s="84"/>
      <c r="Y768" s="84"/>
      <c r="AB768" s="84"/>
      <c r="AC768" s="84"/>
      <c r="AH768" s="84"/>
      <c r="AI768" s="84"/>
      <c r="AJ768" s="84"/>
      <c r="AK768" s="84"/>
    </row>
    <row r="769" spans="9:37" ht="12.75" customHeight="1" x14ac:dyDescent="0.25">
      <c r="I769" s="84"/>
      <c r="J769" s="84"/>
      <c r="K769" s="84"/>
      <c r="N769" s="84"/>
      <c r="R769" s="84"/>
      <c r="S769" s="84"/>
      <c r="W769" s="84"/>
      <c r="Y769" s="84"/>
      <c r="AB769" s="84"/>
      <c r="AC769" s="84"/>
      <c r="AH769" s="84"/>
      <c r="AI769" s="84"/>
      <c r="AJ769" s="84"/>
      <c r="AK769" s="84"/>
    </row>
    <row r="770" spans="9:37" ht="12.75" customHeight="1" x14ac:dyDescent="0.25">
      <c r="I770" s="84"/>
      <c r="J770" s="84"/>
      <c r="K770" s="84"/>
      <c r="N770" s="84"/>
      <c r="R770" s="84"/>
      <c r="S770" s="84"/>
      <c r="W770" s="84"/>
      <c r="Y770" s="84"/>
      <c r="AB770" s="84"/>
      <c r="AC770" s="84"/>
      <c r="AH770" s="84"/>
      <c r="AI770" s="84"/>
      <c r="AJ770" s="84"/>
      <c r="AK770" s="84"/>
    </row>
    <row r="771" spans="9:37" ht="12.75" customHeight="1" x14ac:dyDescent="0.25">
      <c r="I771" s="84"/>
      <c r="J771" s="84"/>
      <c r="K771" s="84"/>
      <c r="N771" s="84"/>
      <c r="R771" s="84"/>
      <c r="S771" s="84"/>
      <c r="W771" s="84"/>
      <c r="Y771" s="84"/>
      <c r="AB771" s="84"/>
      <c r="AC771" s="84"/>
      <c r="AH771" s="84"/>
      <c r="AI771" s="84"/>
      <c r="AJ771" s="84"/>
      <c r="AK771" s="84"/>
    </row>
    <row r="772" spans="9:37" ht="12.75" customHeight="1" x14ac:dyDescent="0.25">
      <c r="I772" s="84"/>
      <c r="J772" s="84"/>
      <c r="K772" s="84"/>
      <c r="N772" s="84"/>
      <c r="R772" s="84"/>
      <c r="S772" s="84"/>
      <c r="W772" s="84"/>
      <c r="Y772" s="84"/>
      <c r="AB772" s="84"/>
      <c r="AC772" s="84"/>
      <c r="AH772" s="84"/>
      <c r="AI772" s="84"/>
      <c r="AJ772" s="84"/>
      <c r="AK772" s="84"/>
    </row>
    <row r="773" spans="9:37" ht="12.75" customHeight="1" x14ac:dyDescent="0.25">
      <c r="I773" s="84"/>
      <c r="J773" s="84"/>
      <c r="K773" s="84"/>
      <c r="N773" s="84"/>
      <c r="R773" s="84"/>
      <c r="S773" s="84"/>
      <c r="W773" s="84"/>
      <c r="Y773" s="84"/>
      <c r="AB773" s="84"/>
      <c r="AC773" s="84"/>
      <c r="AH773" s="84"/>
      <c r="AI773" s="84"/>
      <c r="AJ773" s="84"/>
      <c r="AK773" s="84"/>
    </row>
    <row r="774" spans="9:37" ht="12.75" customHeight="1" x14ac:dyDescent="0.25">
      <c r="I774" s="84"/>
      <c r="J774" s="84"/>
      <c r="K774" s="84"/>
      <c r="N774" s="84"/>
      <c r="R774" s="84"/>
      <c r="S774" s="84"/>
      <c r="W774" s="84"/>
      <c r="Y774" s="84"/>
      <c r="AB774" s="84"/>
      <c r="AC774" s="84"/>
      <c r="AH774" s="84"/>
      <c r="AI774" s="84"/>
      <c r="AJ774" s="84"/>
      <c r="AK774" s="84"/>
    </row>
    <row r="775" spans="9:37" ht="12.75" customHeight="1" x14ac:dyDescent="0.25">
      <c r="I775" s="84"/>
      <c r="J775" s="84"/>
      <c r="K775" s="84"/>
      <c r="N775" s="84"/>
      <c r="R775" s="84"/>
      <c r="S775" s="84"/>
      <c r="W775" s="84"/>
      <c r="Y775" s="84"/>
      <c r="AB775" s="84"/>
      <c r="AC775" s="84"/>
      <c r="AH775" s="84"/>
      <c r="AI775" s="84"/>
      <c r="AJ775" s="84"/>
      <c r="AK775" s="84"/>
    </row>
    <row r="776" spans="9:37" ht="12.75" customHeight="1" x14ac:dyDescent="0.25">
      <c r="I776" s="84"/>
      <c r="J776" s="84"/>
      <c r="K776" s="84"/>
      <c r="N776" s="84"/>
      <c r="R776" s="84"/>
      <c r="S776" s="84"/>
      <c r="W776" s="84"/>
      <c r="Y776" s="84"/>
      <c r="AB776" s="84"/>
      <c r="AC776" s="84"/>
      <c r="AH776" s="84"/>
      <c r="AI776" s="84"/>
      <c r="AJ776" s="84"/>
      <c r="AK776" s="84"/>
    </row>
    <row r="777" spans="9:37" ht="12.75" customHeight="1" x14ac:dyDescent="0.25">
      <c r="I777" s="84"/>
      <c r="J777" s="84"/>
      <c r="K777" s="84"/>
      <c r="N777" s="84"/>
      <c r="R777" s="84"/>
      <c r="S777" s="84"/>
      <c r="W777" s="84"/>
      <c r="Y777" s="84"/>
      <c r="AB777" s="84"/>
      <c r="AC777" s="84"/>
      <c r="AH777" s="84"/>
      <c r="AI777" s="84"/>
      <c r="AJ777" s="84"/>
      <c r="AK777" s="84"/>
    </row>
    <row r="778" spans="9:37" ht="12.75" customHeight="1" x14ac:dyDescent="0.25">
      <c r="I778" s="84"/>
      <c r="J778" s="84"/>
      <c r="K778" s="84"/>
      <c r="N778" s="84"/>
      <c r="R778" s="84"/>
      <c r="S778" s="84"/>
      <c r="W778" s="84"/>
      <c r="Y778" s="84"/>
      <c r="AB778" s="84"/>
      <c r="AC778" s="84"/>
      <c r="AH778" s="84"/>
      <c r="AI778" s="84"/>
      <c r="AJ778" s="84"/>
      <c r="AK778" s="84"/>
    </row>
    <row r="779" spans="9:37" ht="12.75" customHeight="1" x14ac:dyDescent="0.25">
      <c r="I779" s="84"/>
      <c r="J779" s="84"/>
      <c r="K779" s="84"/>
      <c r="N779" s="84"/>
      <c r="R779" s="84"/>
      <c r="S779" s="84"/>
      <c r="W779" s="84"/>
      <c r="Y779" s="84"/>
      <c r="AB779" s="84"/>
      <c r="AC779" s="84"/>
      <c r="AH779" s="84"/>
      <c r="AI779" s="84"/>
      <c r="AJ779" s="84"/>
      <c r="AK779" s="84"/>
    </row>
    <row r="780" spans="9:37" ht="12.75" customHeight="1" x14ac:dyDescent="0.25">
      <c r="I780" s="84"/>
      <c r="J780" s="84"/>
      <c r="K780" s="84"/>
      <c r="N780" s="84"/>
      <c r="R780" s="84"/>
      <c r="S780" s="84"/>
      <c r="W780" s="84"/>
      <c r="Y780" s="84"/>
      <c r="AB780" s="84"/>
      <c r="AC780" s="84"/>
      <c r="AH780" s="84"/>
      <c r="AI780" s="84"/>
      <c r="AJ780" s="84"/>
      <c r="AK780" s="84"/>
    </row>
    <row r="781" spans="9:37" ht="12.75" customHeight="1" x14ac:dyDescent="0.25">
      <c r="I781" s="84"/>
      <c r="J781" s="84"/>
      <c r="K781" s="84"/>
      <c r="N781" s="84"/>
      <c r="R781" s="84"/>
      <c r="S781" s="84"/>
      <c r="W781" s="84"/>
      <c r="Y781" s="84"/>
      <c r="AB781" s="84"/>
      <c r="AC781" s="84"/>
      <c r="AH781" s="84"/>
      <c r="AI781" s="84"/>
      <c r="AJ781" s="84"/>
      <c r="AK781" s="84"/>
    </row>
    <row r="782" spans="9:37" ht="12.75" customHeight="1" x14ac:dyDescent="0.25">
      <c r="I782" s="84"/>
      <c r="J782" s="84"/>
      <c r="K782" s="84"/>
      <c r="N782" s="84"/>
      <c r="R782" s="84"/>
      <c r="S782" s="84"/>
      <c r="W782" s="84"/>
      <c r="Y782" s="84"/>
      <c r="AB782" s="84"/>
      <c r="AC782" s="84"/>
      <c r="AH782" s="84"/>
      <c r="AI782" s="84"/>
      <c r="AJ782" s="84"/>
      <c r="AK782" s="84"/>
    </row>
    <row r="783" spans="9:37" ht="12.75" customHeight="1" x14ac:dyDescent="0.25">
      <c r="I783" s="84"/>
      <c r="J783" s="84"/>
      <c r="K783" s="84"/>
      <c r="N783" s="84"/>
      <c r="R783" s="84"/>
      <c r="S783" s="84"/>
      <c r="W783" s="84"/>
      <c r="Y783" s="84"/>
      <c r="AB783" s="84"/>
      <c r="AC783" s="84"/>
      <c r="AH783" s="84"/>
      <c r="AI783" s="84"/>
      <c r="AJ783" s="84"/>
      <c r="AK783" s="84"/>
    </row>
    <row r="784" spans="9:37" ht="12.75" customHeight="1" x14ac:dyDescent="0.25">
      <c r="I784" s="84"/>
      <c r="J784" s="84"/>
      <c r="K784" s="84"/>
      <c r="N784" s="84"/>
      <c r="R784" s="84"/>
      <c r="S784" s="84"/>
      <c r="W784" s="84"/>
      <c r="Y784" s="84"/>
      <c r="AB784" s="84"/>
      <c r="AC784" s="84"/>
      <c r="AH784" s="84"/>
      <c r="AI784" s="84"/>
      <c r="AJ784" s="84"/>
      <c r="AK784" s="84"/>
    </row>
    <row r="785" spans="9:37" ht="12.75" customHeight="1" x14ac:dyDescent="0.25">
      <c r="I785" s="84"/>
      <c r="J785" s="84"/>
      <c r="K785" s="84"/>
      <c r="N785" s="84"/>
      <c r="R785" s="84"/>
      <c r="S785" s="84"/>
      <c r="W785" s="84"/>
      <c r="Y785" s="84"/>
      <c r="AB785" s="84"/>
      <c r="AC785" s="84"/>
      <c r="AH785" s="84"/>
      <c r="AI785" s="84"/>
      <c r="AJ785" s="84"/>
      <c r="AK785" s="84"/>
    </row>
    <row r="786" spans="9:37" ht="12.75" customHeight="1" x14ac:dyDescent="0.25">
      <c r="I786" s="84"/>
      <c r="J786" s="84"/>
      <c r="K786" s="84"/>
      <c r="N786" s="84"/>
      <c r="R786" s="84"/>
      <c r="S786" s="84"/>
      <c r="W786" s="84"/>
      <c r="Y786" s="84"/>
      <c r="AB786" s="84"/>
      <c r="AC786" s="84"/>
      <c r="AH786" s="84"/>
      <c r="AI786" s="84"/>
      <c r="AJ786" s="84"/>
      <c r="AK786" s="84"/>
    </row>
    <row r="787" spans="9:37" ht="12.75" customHeight="1" x14ac:dyDescent="0.25">
      <c r="I787" s="84"/>
      <c r="J787" s="84"/>
      <c r="K787" s="84"/>
      <c r="N787" s="84"/>
      <c r="R787" s="84"/>
      <c r="S787" s="84"/>
      <c r="W787" s="84"/>
      <c r="Y787" s="84"/>
      <c r="AB787" s="84"/>
      <c r="AC787" s="84"/>
      <c r="AH787" s="84"/>
      <c r="AI787" s="84"/>
      <c r="AJ787" s="84"/>
      <c r="AK787" s="84"/>
    </row>
    <row r="788" spans="9:37" ht="12.75" customHeight="1" x14ac:dyDescent="0.25">
      <c r="I788" s="84"/>
      <c r="J788" s="84"/>
      <c r="K788" s="84"/>
      <c r="N788" s="84"/>
      <c r="R788" s="84"/>
      <c r="S788" s="84"/>
      <c r="W788" s="84"/>
      <c r="Y788" s="84"/>
      <c r="AB788" s="84"/>
      <c r="AC788" s="84"/>
      <c r="AH788" s="84"/>
      <c r="AI788" s="84"/>
      <c r="AJ788" s="84"/>
      <c r="AK788" s="84"/>
    </row>
    <row r="789" spans="9:37" ht="12.75" customHeight="1" x14ac:dyDescent="0.25">
      <c r="I789" s="84"/>
      <c r="J789" s="84"/>
      <c r="K789" s="84"/>
      <c r="N789" s="84"/>
      <c r="R789" s="84"/>
      <c r="S789" s="84"/>
      <c r="W789" s="84"/>
      <c r="Y789" s="84"/>
      <c r="AB789" s="84"/>
      <c r="AC789" s="84"/>
      <c r="AH789" s="84"/>
      <c r="AI789" s="84"/>
      <c r="AJ789" s="84"/>
      <c r="AK789" s="84"/>
    </row>
    <row r="790" spans="9:37" ht="12.75" customHeight="1" x14ac:dyDescent="0.25">
      <c r="I790" s="84"/>
      <c r="J790" s="84"/>
      <c r="K790" s="84"/>
      <c r="N790" s="84"/>
      <c r="R790" s="84"/>
      <c r="S790" s="84"/>
      <c r="W790" s="84"/>
      <c r="Y790" s="84"/>
      <c r="AB790" s="84"/>
      <c r="AC790" s="84"/>
      <c r="AH790" s="84"/>
      <c r="AI790" s="84"/>
      <c r="AJ790" s="84"/>
      <c r="AK790" s="84"/>
    </row>
    <row r="791" spans="9:37" ht="12.75" customHeight="1" x14ac:dyDescent="0.25">
      <c r="I791" s="84"/>
      <c r="J791" s="84"/>
      <c r="K791" s="84"/>
      <c r="N791" s="84"/>
      <c r="R791" s="84"/>
      <c r="S791" s="84"/>
      <c r="W791" s="84"/>
      <c r="Y791" s="84"/>
      <c r="AB791" s="84"/>
      <c r="AC791" s="84"/>
      <c r="AH791" s="84"/>
      <c r="AI791" s="84"/>
      <c r="AJ791" s="84"/>
      <c r="AK791" s="84"/>
    </row>
    <row r="792" spans="9:37" ht="12.75" customHeight="1" x14ac:dyDescent="0.25">
      <c r="I792" s="84"/>
      <c r="J792" s="84"/>
      <c r="K792" s="84"/>
      <c r="N792" s="84"/>
      <c r="R792" s="84"/>
      <c r="S792" s="84"/>
      <c r="W792" s="84"/>
      <c r="Y792" s="84"/>
      <c r="AB792" s="84"/>
      <c r="AC792" s="84"/>
      <c r="AH792" s="84"/>
      <c r="AI792" s="84"/>
      <c r="AJ792" s="84"/>
      <c r="AK792" s="84"/>
    </row>
    <row r="793" spans="9:37" ht="12.75" customHeight="1" x14ac:dyDescent="0.25">
      <c r="I793" s="84"/>
      <c r="J793" s="84"/>
      <c r="K793" s="84"/>
      <c r="N793" s="84"/>
      <c r="R793" s="84"/>
      <c r="S793" s="84"/>
      <c r="W793" s="84"/>
      <c r="Y793" s="84"/>
      <c r="AB793" s="84"/>
      <c r="AC793" s="84"/>
      <c r="AH793" s="84"/>
      <c r="AI793" s="84"/>
      <c r="AJ793" s="84"/>
      <c r="AK793" s="84"/>
    </row>
    <row r="794" spans="9:37" ht="12.75" customHeight="1" x14ac:dyDescent="0.25">
      <c r="I794" s="84"/>
      <c r="J794" s="84"/>
      <c r="K794" s="84"/>
      <c r="N794" s="84"/>
      <c r="R794" s="84"/>
      <c r="S794" s="84"/>
      <c r="W794" s="84"/>
      <c r="Y794" s="84"/>
      <c r="AB794" s="84"/>
      <c r="AC794" s="84"/>
      <c r="AH794" s="84"/>
      <c r="AI794" s="84"/>
      <c r="AJ794" s="84"/>
      <c r="AK794" s="84"/>
    </row>
    <row r="795" spans="9:37" ht="12.75" customHeight="1" x14ac:dyDescent="0.25">
      <c r="I795" s="84"/>
      <c r="J795" s="84"/>
      <c r="K795" s="84"/>
      <c r="N795" s="84"/>
      <c r="R795" s="84"/>
      <c r="S795" s="84"/>
      <c r="W795" s="84"/>
      <c r="Y795" s="84"/>
      <c r="AB795" s="84"/>
      <c r="AC795" s="84"/>
      <c r="AH795" s="84"/>
      <c r="AI795" s="84"/>
      <c r="AJ795" s="84"/>
      <c r="AK795" s="84"/>
    </row>
    <row r="796" spans="9:37" ht="12.75" customHeight="1" x14ac:dyDescent="0.25">
      <c r="I796" s="84"/>
      <c r="J796" s="84"/>
      <c r="K796" s="84"/>
      <c r="N796" s="84"/>
      <c r="R796" s="84"/>
      <c r="S796" s="84"/>
      <c r="W796" s="84"/>
      <c r="Y796" s="84"/>
      <c r="AB796" s="84"/>
      <c r="AC796" s="84"/>
      <c r="AH796" s="84"/>
      <c r="AI796" s="84"/>
      <c r="AJ796" s="84"/>
      <c r="AK796" s="84"/>
    </row>
    <row r="797" spans="9:37" ht="12.75" customHeight="1" x14ac:dyDescent="0.25">
      <c r="I797" s="84"/>
      <c r="J797" s="84"/>
      <c r="K797" s="84"/>
      <c r="N797" s="84"/>
      <c r="R797" s="84"/>
      <c r="S797" s="84"/>
      <c r="W797" s="84"/>
      <c r="Y797" s="84"/>
      <c r="AB797" s="84"/>
      <c r="AC797" s="84"/>
      <c r="AH797" s="84"/>
      <c r="AI797" s="84"/>
      <c r="AJ797" s="84"/>
      <c r="AK797" s="84"/>
    </row>
    <row r="798" spans="9:37" ht="12.75" customHeight="1" x14ac:dyDescent="0.25">
      <c r="I798" s="84"/>
      <c r="J798" s="84"/>
      <c r="K798" s="84"/>
      <c r="N798" s="84"/>
      <c r="R798" s="84"/>
      <c r="S798" s="84"/>
      <c r="W798" s="84"/>
      <c r="Y798" s="84"/>
      <c r="AB798" s="84"/>
      <c r="AC798" s="84"/>
      <c r="AH798" s="84"/>
      <c r="AI798" s="84"/>
      <c r="AJ798" s="84"/>
      <c r="AK798" s="84"/>
    </row>
    <row r="799" spans="9:37" ht="12.75" customHeight="1" x14ac:dyDescent="0.25">
      <c r="I799" s="84"/>
      <c r="J799" s="84"/>
      <c r="K799" s="84"/>
      <c r="N799" s="84"/>
      <c r="R799" s="84"/>
      <c r="S799" s="84"/>
      <c r="W799" s="84"/>
      <c r="Y799" s="84"/>
      <c r="AB799" s="84"/>
      <c r="AC799" s="84"/>
      <c r="AH799" s="84"/>
      <c r="AI799" s="84"/>
      <c r="AJ799" s="84"/>
      <c r="AK799" s="84"/>
    </row>
    <row r="800" spans="9:37" ht="12.75" customHeight="1" x14ac:dyDescent="0.25">
      <c r="I800" s="84"/>
      <c r="J800" s="84"/>
      <c r="K800" s="84"/>
      <c r="N800" s="84"/>
      <c r="R800" s="84"/>
      <c r="S800" s="84"/>
      <c r="W800" s="84"/>
      <c r="Y800" s="84"/>
      <c r="AB800" s="84"/>
      <c r="AC800" s="84"/>
      <c r="AH800" s="84"/>
      <c r="AI800" s="84"/>
      <c r="AJ800" s="84"/>
      <c r="AK800" s="84"/>
    </row>
    <row r="801" spans="9:37" ht="12.75" customHeight="1" x14ac:dyDescent="0.25">
      <c r="I801" s="84"/>
      <c r="J801" s="84"/>
      <c r="K801" s="84"/>
      <c r="N801" s="84"/>
      <c r="R801" s="84"/>
      <c r="S801" s="84"/>
      <c r="W801" s="84"/>
      <c r="Y801" s="84"/>
      <c r="AB801" s="84"/>
      <c r="AC801" s="84"/>
      <c r="AH801" s="84"/>
      <c r="AI801" s="84"/>
      <c r="AJ801" s="84"/>
      <c r="AK801" s="84"/>
    </row>
    <row r="802" spans="9:37" ht="12.75" customHeight="1" x14ac:dyDescent="0.25">
      <c r="I802" s="84"/>
      <c r="J802" s="84"/>
      <c r="K802" s="84"/>
      <c r="N802" s="84"/>
      <c r="R802" s="84"/>
      <c r="S802" s="84"/>
      <c r="W802" s="84"/>
      <c r="Y802" s="84"/>
      <c r="AB802" s="84"/>
      <c r="AC802" s="84"/>
      <c r="AH802" s="84"/>
      <c r="AI802" s="84"/>
      <c r="AJ802" s="84"/>
      <c r="AK802" s="84"/>
    </row>
    <row r="803" spans="9:37" ht="12.75" customHeight="1" x14ac:dyDescent="0.25">
      <c r="I803" s="84"/>
      <c r="J803" s="84"/>
      <c r="K803" s="84"/>
      <c r="N803" s="84"/>
      <c r="R803" s="84"/>
      <c r="S803" s="84"/>
      <c r="W803" s="84"/>
      <c r="Y803" s="84"/>
      <c r="AB803" s="84"/>
      <c r="AC803" s="84"/>
      <c r="AH803" s="84"/>
      <c r="AI803" s="84"/>
      <c r="AJ803" s="84"/>
      <c r="AK803" s="84"/>
    </row>
    <row r="804" spans="9:37" ht="12.75" customHeight="1" x14ac:dyDescent="0.25">
      <c r="I804" s="84"/>
      <c r="J804" s="84"/>
      <c r="K804" s="84"/>
      <c r="N804" s="84"/>
      <c r="R804" s="84"/>
      <c r="S804" s="84"/>
      <c r="W804" s="84"/>
      <c r="Y804" s="84"/>
      <c r="AB804" s="84"/>
      <c r="AC804" s="84"/>
      <c r="AH804" s="84"/>
      <c r="AI804" s="84"/>
      <c r="AJ804" s="84"/>
      <c r="AK804" s="84"/>
    </row>
    <row r="805" spans="9:37" ht="12.75" customHeight="1" x14ac:dyDescent="0.25">
      <c r="I805" s="84"/>
      <c r="J805" s="84"/>
      <c r="K805" s="84"/>
      <c r="N805" s="84"/>
      <c r="R805" s="84"/>
      <c r="S805" s="84"/>
      <c r="W805" s="84"/>
      <c r="Y805" s="84"/>
      <c r="AB805" s="84"/>
      <c r="AC805" s="84"/>
      <c r="AH805" s="84"/>
      <c r="AI805" s="84"/>
      <c r="AJ805" s="84"/>
      <c r="AK805" s="84"/>
    </row>
    <row r="806" spans="9:37" ht="12.75" customHeight="1" x14ac:dyDescent="0.25">
      <c r="I806" s="84"/>
      <c r="J806" s="84"/>
      <c r="K806" s="84"/>
      <c r="N806" s="84"/>
      <c r="R806" s="84"/>
      <c r="S806" s="84"/>
      <c r="W806" s="84"/>
      <c r="Y806" s="84"/>
      <c r="AB806" s="84"/>
      <c r="AC806" s="84"/>
      <c r="AH806" s="84"/>
      <c r="AI806" s="84"/>
      <c r="AJ806" s="84"/>
      <c r="AK806" s="84"/>
    </row>
    <row r="807" spans="9:37" ht="12.75" customHeight="1" x14ac:dyDescent="0.25">
      <c r="I807" s="84"/>
      <c r="J807" s="84"/>
      <c r="K807" s="84"/>
      <c r="N807" s="84"/>
      <c r="R807" s="84"/>
      <c r="S807" s="84"/>
      <c r="W807" s="84"/>
      <c r="Y807" s="84"/>
      <c r="AB807" s="84"/>
      <c r="AC807" s="84"/>
      <c r="AH807" s="84"/>
      <c r="AI807" s="84"/>
      <c r="AJ807" s="84"/>
      <c r="AK807" s="84"/>
    </row>
    <row r="808" spans="9:37" ht="12.75" customHeight="1" x14ac:dyDescent="0.25">
      <c r="I808" s="84"/>
      <c r="J808" s="84"/>
      <c r="K808" s="84"/>
      <c r="N808" s="84"/>
      <c r="R808" s="84"/>
      <c r="S808" s="84"/>
      <c r="W808" s="84"/>
      <c r="Y808" s="84"/>
      <c r="AB808" s="84"/>
      <c r="AC808" s="84"/>
      <c r="AH808" s="84"/>
      <c r="AI808" s="84"/>
      <c r="AJ808" s="84"/>
      <c r="AK808" s="84"/>
    </row>
    <row r="809" spans="9:37" ht="12.75" customHeight="1" x14ac:dyDescent="0.25">
      <c r="I809" s="84"/>
      <c r="J809" s="84"/>
      <c r="K809" s="84"/>
      <c r="N809" s="84"/>
      <c r="R809" s="84"/>
      <c r="S809" s="84"/>
      <c r="W809" s="84"/>
      <c r="Y809" s="84"/>
      <c r="AB809" s="84"/>
      <c r="AC809" s="84"/>
      <c r="AH809" s="84"/>
      <c r="AI809" s="84"/>
      <c r="AJ809" s="84"/>
      <c r="AK809" s="84"/>
    </row>
    <row r="810" spans="9:37" ht="12.75" customHeight="1" x14ac:dyDescent="0.25">
      <c r="I810" s="84"/>
      <c r="J810" s="84"/>
      <c r="K810" s="84"/>
      <c r="N810" s="84"/>
      <c r="R810" s="84"/>
      <c r="S810" s="84"/>
      <c r="W810" s="84"/>
      <c r="Y810" s="84"/>
      <c r="AB810" s="84"/>
      <c r="AC810" s="84"/>
      <c r="AH810" s="84"/>
      <c r="AI810" s="84"/>
      <c r="AJ810" s="84"/>
      <c r="AK810" s="84"/>
    </row>
    <row r="811" spans="9:37" ht="12.75" customHeight="1" x14ac:dyDescent="0.25">
      <c r="I811" s="84"/>
      <c r="J811" s="84"/>
      <c r="K811" s="84"/>
      <c r="N811" s="84"/>
      <c r="R811" s="84"/>
      <c r="S811" s="84"/>
      <c r="W811" s="84"/>
      <c r="Y811" s="84"/>
      <c r="AB811" s="84"/>
      <c r="AC811" s="84"/>
      <c r="AH811" s="84"/>
      <c r="AI811" s="84"/>
      <c r="AJ811" s="84"/>
      <c r="AK811" s="84"/>
    </row>
    <row r="812" spans="9:37" ht="12.75" customHeight="1" x14ac:dyDescent="0.25">
      <c r="I812" s="84"/>
      <c r="J812" s="84"/>
      <c r="K812" s="84"/>
      <c r="N812" s="84"/>
      <c r="R812" s="84"/>
      <c r="S812" s="84"/>
      <c r="W812" s="84"/>
      <c r="Y812" s="84"/>
      <c r="AB812" s="84"/>
      <c r="AC812" s="84"/>
      <c r="AH812" s="84"/>
      <c r="AI812" s="84"/>
      <c r="AJ812" s="84"/>
      <c r="AK812" s="84"/>
    </row>
    <row r="813" spans="9:37" ht="12.75" customHeight="1" x14ac:dyDescent="0.25">
      <c r="I813" s="84"/>
      <c r="J813" s="84"/>
      <c r="K813" s="84"/>
      <c r="N813" s="84"/>
      <c r="R813" s="84"/>
      <c r="S813" s="84"/>
      <c r="W813" s="84"/>
      <c r="Y813" s="84"/>
      <c r="AB813" s="84"/>
      <c r="AC813" s="84"/>
      <c r="AH813" s="84"/>
      <c r="AI813" s="84"/>
      <c r="AJ813" s="84"/>
      <c r="AK813" s="84"/>
    </row>
    <row r="814" spans="9:37" ht="12.75" customHeight="1" x14ac:dyDescent="0.25">
      <c r="I814" s="84"/>
      <c r="J814" s="84"/>
      <c r="K814" s="84"/>
      <c r="N814" s="84"/>
      <c r="R814" s="84"/>
      <c r="S814" s="84"/>
      <c r="W814" s="84"/>
      <c r="Y814" s="84"/>
      <c r="AB814" s="84"/>
      <c r="AC814" s="84"/>
      <c r="AH814" s="84"/>
      <c r="AI814" s="84"/>
      <c r="AJ814" s="84"/>
      <c r="AK814" s="84"/>
    </row>
    <row r="815" spans="9:37" ht="12.75" customHeight="1" x14ac:dyDescent="0.25">
      <c r="I815" s="84"/>
      <c r="J815" s="84"/>
      <c r="K815" s="84"/>
      <c r="N815" s="84"/>
      <c r="R815" s="84"/>
      <c r="S815" s="84"/>
      <c r="W815" s="84"/>
      <c r="Y815" s="84"/>
      <c r="AB815" s="84"/>
      <c r="AC815" s="84"/>
      <c r="AH815" s="84"/>
      <c r="AI815" s="84"/>
      <c r="AJ815" s="84"/>
      <c r="AK815" s="84"/>
    </row>
    <row r="816" spans="9:37" ht="12.75" customHeight="1" x14ac:dyDescent="0.25">
      <c r="I816" s="84"/>
      <c r="J816" s="84"/>
      <c r="K816" s="84"/>
      <c r="N816" s="84"/>
      <c r="R816" s="84"/>
      <c r="S816" s="84"/>
      <c r="W816" s="84"/>
      <c r="Y816" s="84"/>
      <c r="AB816" s="84"/>
      <c r="AC816" s="84"/>
      <c r="AH816" s="84"/>
      <c r="AI816" s="84"/>
      <c r="AJ816" s="84"/>
      <c r="AK816" s="84"/>
    </row>
    <row r="817" spans="9:37" ht="12.75" customHeight="1" x14ac:dyDescent="0.25">
      <c r="I817" s="84"/>
      <c r="J817" s="84"/>
      <c r="K817" s="84"/>
      <c r="N817" s="84"/>
      <c r="R817" s="84"/>
      <c r="S817" s="84"/>
      <c r="W817" s="84"/>
      <c r="Y817" s="84"/>
      <c r="AB817" s="84"/>
      <c r="AC817" s="84"/>
      <c r="AH817" s="84"/>
      <c r="AI817" s="84"/>
      <c r="AJ817" s="84"/>
      <c r="AK817" s="84"/>
    </row>
    <row r="818" spans="9:37" ht="12.75" customHeight="1" x14ac:dyDescent="0.25">
      <c r="I818" s="84"/>
      <c r="J818" s="84"/>
      <c r="K818" s="84"/>
      <c r="N818" s="84"/>
      <c r="R818" s="84"/>
      <c r="S818" s="84"/>
      <c r="W818" s="84"/>
      <c r="Y818" s="84"/>
      <c r="AB818" s="84"/>
      <c r="AC818" s="84"/>
      <c r="AH818" s="84"/>
      <c r="AI818" s="84"/>
      <c r="AJ818" s="84"/>
      <c r="AK818" s="84"/>
    </row>
    <row r="819" spans="9:37" ht="12.75" customHeight="1" x14ac:dyDescent="0.25">
      <c r="I819" s="84"/>
      <c r="J819" s="84"/>
      <c r="K819" s="84"/>
      <c r="N819" s="84"/>
      <c r="R819" s="84"/>
      <c r="S819" s="84"/>
      <c r="W819" s="84"/>
      <c r="Y819" s="84"/>
      <c r="AB819" s="84"/>
      <c r="AC819" s="84"/>
      <c r="AH819" s="84"/>
      <c r="AI819" s="84"/>
      <c r="AJ819" s="84"/>
      <c r="AK819" s="84"/>
    </row>
    <row r="820" spans="9:37" ht="12.75" customHeight="1" x14ac:dyDescent="0.25">
      <c r="I820" s="84"/>
      <c r="J820" s="84"/>
      <c r="K820" s="84"/>
      <c r="N820" s="84"/>
      <c r="R820" s="84"/>
      <c r="S820" s="84"/>
      <c r="W820" s="84"/>
      <c r="Y820" s="84"/>
      <c r="AB820" s="84"/>
      <c r="AC820" s="84"/>
      <c r="AH820" s="84"/>
      <c r="AI820" s="84"/>
      <c r="AJ820" s="84"/>
      <c r="AK820" s="84"/>
    </row>
    <row r="821" spans="9:37" ht="12.75" customHeight="1" x14ac:dyDescent="0.25">
      <c r="I821" s="84"/>
      <c r="J821" s="84"/>
      <c r="K821" s="84"/>
      <c r="N821" s="84"/>
      <c r="R821" s="84"/>
      <c r="S821" s="84"/>
      <c r="W821" s="84"/>
      <c r="Y821" s="84"/>
      <c r="AB821" s="84"/>
      <c r="AC821" s="84"/>
      <c r="AH821" s="84"/>
      <c r="AI821" s="84"/>
      <c r="AJ821" s="84"/>
      <c r="AK821" s="84"/>
    </row>
    <row r="822" spans="9:37" ht="12.75" customHeight="1" x14ac:dyDescent="0.25">
      <c r="I822" s="84"/>
      <c r="J822" s="84"/>
      <c r="K822" s="84"/>
      <c r="N822" s="84"/>
      <c r="R822" s="84"/>
      <c r="S822" s="84"/>
      <c r="W822" s="84"/>
      <c r="Y822" s="84"/>
      <c r="AB822" s="84"/>
      <c r="AC822" s="84"/>
      <c r="AH822" s="84"/>
      <c r="AI822" s="84"/>
      <c r="AJ822" s="84"/>
      <c r="AK822" s="84"/>
    </row>
    <row r="823" spans="9:37" ht="12.75" customHeight="1" x14ac:dyDescent="0.25">
      <c r="I823" s="84"/>
      <c r="J823" s="84"/>
      <c r="K823" s="84"/>
      <c r="N823" s="84"/>
      <c r="R823" s="84"/>
      <c r="S823" s="84"/>
      <c r="W823" s="84"/>
      <c r="Y823" s="84"/>
      <c r="AB823" s="84"/>
      <c r="AC823" s="84"/>
      <c r="AH823" s="84"/>
      <c r="AI823" s="84"/>
      <c r="AJ823" s="84"/>
      <c r="AK823" s="84"/>
    </row>
    <row r="824" spans="9:37" ht="12.75" customHeight="1" x14ac:dyDescent="0.25">
      <c r="I824" s="84"/>
      <c r="J824" s="84"/>
      <c r="K824" s="84"/>
      <c r="N824" s="84"/>
      <c r="R824" s="84"/>
      <c r="S824" s="84"/>
      <c r="W824" s="84"/>
      <c r="Y824" s="84"/>
      <c r="AB824" s="84"/>
      <c r="AC824" s="84"/>
      <c r="AH824" s="84"/>
      <c r="AI824" s="84"/>
      <c r="AJ824" s="84"/>
      <c r="AK824" s="84"/>
    </row>
    <row r="825" spans="9:37" ht="12.75" customHeight="1" x14ac:dyDescent="0.25">
      <c r="I825" s="84"/>
      <c r="J825" s="84"/>
      <c r="K825" s="84"/>
      <c r="N825" s="84"/>
      <c r="R825" s="84"/>
      <c r="S825" s="84"/>
      <c r="W825" s="84"/>
      <c r="Y825" s="84"/>
      <c r="AB825" s="84"/>
      <c r="AC825" s="84"/>
      <c r="AH825" s="84"/>
      <c r="AI825" s="84"/>
      <c r="AJ825" s="84"/>
      <c r="AK825" s="84"/>
    </row>
    <row r="826" spans="9:37" ht="12.75" customHeight="1" x14ac:dyDescent="0.25">
      <c r="I826" s="84"/>
      <c r="J826" s="84"/>
      <c r="K826" s="84"/>
      <c r="N826" s="84"/>
      <c r="R826" s="84"/>
      <c r="S826" s="84"/>
      <c r="W826" s="84"/>
      <c r="Y826" s="84"/>
      <c r="AB826" s="84"/>
      <c r="AC826" s="84"/>
      <c r="AH826" s="84"/>
      <c r="AI826" s="84"/>
      <c r="AJ826" s="84"/>
      <c r="AK826" s="84"/>
    </row>
    <row r="827" spans="9:37" ht="12.75" customHeight="1" x14ac:dyDescent="0.25">
      <c r="I827" s="84"/>
      <c r="J827" s="84"/>
      <c r="K827" s="84"/>
      <c r="N827" s="84"/>
      <c r="R827" s="84"/>
      <c r="S827" s="84"/>
      <c r="W827" s="84"/>
      <c r="Y827" s="84"/>
      <c r="AB827" s="84"/>
      <c r="AC827" s="84"/>
      <c r="AH827" s="84"/>
      <c r="AI827" s="84"/>
      <c r="AJ827" s="84"/>
      <c r="AK827" s="84"/>
    </row>
    <row r="828" spans="9:37" ht="12.75" customHeight="1" x14ac:dyDescent="0.25">
      <c r="I828" s="84"/>
      <c r="J828" s="84"/>
      <c r="K828" s="84"/>
      <c r="N828" s="84"/>
      <c r="R828" s="84"/>
      <c r="S828" s="84"/>
      <c r="W828" s="84"/>
      <c r="Y828" s="84"/>
      <c r="AB828" s="84"/>
      <c r="AC828" s="84"/>
      <c r="AH828" s="84"/>
      <c r="AI828" s="84"/>
      <c r="AJ828" s="84"/>
      <c r="AK828" s="84"/>
    </row>
    <row r="829" spans="9:37" ht="12.75" customHeight="1" x14ac:dyDescent="0.25">
      <c r="I829" s="84"/>
      <c r="J829" s="84"/>
      <c r="K829" s="84"/>
      <c r="N829" s="84"/>
      <c r="R829" s="84"/>
      <c r="S829" s="84"/>
      <c r="W829" s="84"/>
      <c r="Y829" s="84"/>
      <c r="AB829" s="84"/>
      <c r="AC829" s="84"/>
      <c r="AH829" s="84"/>
      <c r="AI829" s="84"/>
      <c r="AJ829" s="84"/>
      <c r="AK829" s="84"/>
    </row>
    <row r="830" spans="9:37" ht="12.75" customHeight="1" x14ac:dyDescent="0.25">
      <c r="I830" s="84"/>
      <c r="J830" s="84"/>
      <c r="K830" s="84"/>
      <c r="N830" s="84"/>
      <c r="R830" s="84"/>
      <c r="S830" s="84"/>
      <c r="W830" s="84"/>
      <c r="Y830" s="84"/>
      <c r="AB830" s="84"/>
      <c r="AC830" s="84"/>
      <c r="AH830" s="84"/>
      <c r="AI830" s="84"/>
      <c r="AJ830" s="84"/>
      <c r="AK830" s="84"/>
    </row>
    <row r="831" spans="9:37" ht="12.75" customHeight="1" x14ac:dyDescent="0.25">
      <c r="I831" s="84"/>
      <c r="J831" s="84"/>
      <c r="K831" s="84"/>
      <c r="N831" s="84"/>
      <c r="R831" s="84"/>
      <c r="S831" s="84"/>
      <c r="W831" s="84"/>
      <c r="Y831" s="84"/>
      <c r="AB831" s="84"/>
      <c r="AC831" s="84"/>
      <c r="AH831" s="84"/>
      <c r="AI831" s="84"/>
      <c r="AJ831" s="84"/>
      <c r="AK831" s="84"/>
    </row>
    <row r="832" spans="9:37" ht="12.75" customHeight="1" x14ac:dyDescent="0.25">
      <c r="I832" s="84"/>
      <c r="J832" s="84"/>
      <c r="K832" s="84"/>
      <c r="N832" s="84"/>
      <c r="R832" s="84"/>
      <c r="S832" s="84"/>
      <c r="W832" s="84"/>
      <c r="Y832" s="84"/>
      <c r="AB832" s="84"/>
      <c r="AC832" s="84"/>
      <c r="AH832" s="84"/>
      <c r="AI832" s="84"/>
      <c r="AJ832" s="84"/>
      <c r="AK832" s="84"/>
    </row>
    <row r="833" spans="9:37" ht="12.75" customHeight="1" x14ac:dyDescent="0.25">
      <c r="I833" s="84"/>
      <c r="J833" s="84"/>
      <c r="K833" s="84"/>
      <c r="N833" s="84"/>
      <c r="R833" s="84"/>
      <c r="S833" s="84"/>
      <c r="W833" s="84"/>
      <c r="Y833" s="84"/>
      <c r="AB833" s="84"/>
      <c r="AC833" s="84"/>
      <c r="AH833" s="84"/>
      <c r="AI833" s="84"/>
      <c r="AJ833" s="84"/>
      <c r="AK833" s="84"/>
    </row>
    <row r="834" spans="9:37" ht="12.75" customHeight="1" x14ac:dyDescent="0.25">
      <c r="I834" s="84"/>
      <c r="J834" s="84"/>
      <c r="K834" s="84"/>
      <c r="N834" s="84"/>
      <c r="R834" s="84"/>
      <c r="S834" s="84"/>
      <c r="W834" s="84"/>
      <c r="Y834" s="84"/>
      <c r="AB834" s="84"/>
      <c r="AC834" s="84"/>
      <c r="AH834" s="84"/>
      <c r="AI834" s="84"/>
      <c r="AJ834" s="84"/>
      <c r="AK834" s="84"/>
    </row>
    <row r="835" spans="9:37" ht="12.75" customHeight="1" x14ac:dyDescent="0.25">
      <c r="I835" s="84"/>
      <c r="J835" s="84"/>
      <c r="K835" s="84"/>
      <c r="N835" s="84"/>
      <c r="R835" s="84"/>
      <c r="S835" s="84"/>
      <c r="W835" s="84"/>
      <c r="Y835" s="84"/>
      <c r="AB835" s="84"/>
      <c r="AC835" s="84"/>
      <c r="AH835" s="84"/>
      <c r="AI835" s="84"/>
      <c r="AJ835" s="84"/>
      <c r="AK835" s="84"/>
    </row>
    <row r="836" spans="9:37" ht="12.75" customHeight="1" x14ac:dyDescent="0.25">
      <c r="I836" s="84"/>
      <c r="J836" s="84"/>
      <c r="K836" s="84"/>
      <c r="N836" s="84"/>
      <c r="R836" s="84"/>
      <c r="S836" s="84"/>
      <c r="W836" s="84"/>
      <c r="Y836" s="84"/>
      <c r="AB836" s="84"/>
      <c r="AC836" s="84"/>
      <c r="AH836" s="84"/>
      <c r="AI836" s="84"/>
      <c r="AJ836" s="84"/>
      <c r="AK836" s="84"/>
    </row>
    <row r="837" spans="9:37" ht="12.75" customHeight="1" x14ac:dyDescent="0.25">
      <c r="I837" s="84"/>
      <c r="J837" s="84"/>
      <c r="K837" s="84"/>
      <c r="N837" s="84"/>
      <c r="R837" s="84"/>
      <c r="S837" s="84"/>
      <c r="W837" s="84"/>
      <c r="Y837" s="84"/>
      <c r="AB837" s="84"/>
      <c r="AC837" s="84"/>
      <c r="AH837" s="84"/>
      <c r="AI837" s="84"/>
      <c r="AJ837" s="84"/>
      <c r="AK837" s="84"/>
    </row>
    <row r="838" spans="9:37" ht="12.75" customHeight="1" x14ac:dyDescent="0.25">
      <c r="I838" s="84"/>
      <c r="J838" s="84"/>
      <c r="K838" s="84"/>
      <c r="N838" s="84"/>
      <c r="R838" s="84"/>
      <c r="S838" s="84"/>
      <c r="W838" s="84"/>
      <c r="Y838" s="84"/>
      <c r="AB838" s="84"/>
      <c r="AC838" s="84"/>
      <c r="AH838" s="84"/>
      <c r="AI838" s="84"/>
      <c r="AJ838" s="84"/>
      <c r="AK838" s="84"/>
    </row>
    <row r="839" spans="9:37" ht="12.75" customHeight="1" x14ac:dyDescent="0.25">
      <c r="I839" s="84"/>
      <c r="J839" s="84"/>
      <c r="K839" s="84"/>
      <c r="N839" s="84"/>
      <c r="R839" s="84"/>
      <c r="S839" s="84"/>
      <c r="W839" s="84"/>
      <c r="Y839" s="84"/>
      <c r="AB839" s="84"/>
      <c r="AC839" s="84"/>
      <c r="AH839" s="84"/>
      <c r="AI839" s="84"/>
      <c r="AJ839" s="84"/>
      <c r="AK839" s="84"/>
    </row>
    <row r="840" spans="9:37" ht="12.75" customHeight="1" x14ac:dyDescent="0.25">
      <c r="I840" s="84"/>
      <c r="J840" s="84"/>
      <c r="K840" s="84"/>
      <c r="N840" s="84"/>
      <c r="R840" s="84"/>
      <c r="S840" s="84"/>
      <c r="W840" s="84"/>
      <c r="Y840" s="84"/>
      <c r="AB840" s="84"/>
      <c r="AC840" s="84"/>
      <c r="AH840" s="84"/>
      <c r="AI840" s="84"/>
      <c r="AJ840" s="84"/>
      <c r="AK840" s="84"/>
    </row>
    <row r="841" spans="9:37" ht="12.75" customHeight="1" x14ac:dyDescent="0.25">
      <c r="I841" s="84"/>
      <c r="J841" s="84"/>
      <c r="K841" s="84"/>
      <c r="N841" s="84"/>
      <c r="R841" s="84"/>
      <c r="S841" s="84"/>
      <c r="W841" s="84"/>
      <c r="Y841" s="84"/>
      <c r="AB841" s="84"/>
      <c r="AC841" s="84"/>
      <c r="AH841" s="84"/>
      <c r="AI841" s="84"/>
      <c r="AJ841" s="84"/>
      <c r="AK841" s="84"/>
    </row>
    <row r="842" spans="9:37" ht="12.75" customHeight="1" x14ac:dyDescent="0.25">
      <c r="I842" s="84"/>
      <c r="J842" s="84"/>
      <c r="K842" s="84"/>
      <c r="N842" s="84"/>
      <c r="R842" s="84"/>
      <c r="S842" s="84"/>
      <c r="W842" s="84"/>
      <c r="Y842" s="84"/>
      <c r="AB842" s="84"/>
      <c r="AC842" s="84"/>
      <c r="AH842" s="84"/>
      <c r="AI842" s="84"/>
      <c r="AJ842" s="84"/>
      <c r="AK842" s="84"/>
    </row>
    <row r="843" spans="9:37" ht="12.75" customHeight="1" x14ac:dyDescent="0.25">
      <c r="I843" s="84"/>
      <c r="J843" s="84"/>
      <c r="K843" s="84"/>
      <c r="N843" s="84"/>
      <c r="R843" s="84"/>
      <c r="S843" s="84"/>
      <c r="W843" s="84"/>
      <c r="Y843" s="84"/>
      <c r="AB843" s="84"/>
      <c r="AC843" s="84"/>
      <c r="AH843" s="84"/>
      <c r="AI843" s="84"/>
      <c r="AJ843" s="84"/>
      <c r="AK843" s="84"/>
    </row>
    <row r="844" spans="9:37" ht="12.75" customHeight="1" x14ac:dyDescent="0.25">
      <c r="I844" s="84"/>
      <c r="J844" s="84"/>
      <c r="K844" s="84"/>
      <c r="N844" s="84"/>
      <c r="R844" s="84"/>
      <c r="S844" s="84"/>
      <c r="W844" s="84"/>
      <c r="Y844" s="84"/>
      <c r="AB844" s="84"/>
      <c r="AC844" s="84"/>
      <c r="AH844" s="84"/>
      <c r="AI844" s="84"/>
      <c r="AJ844" s="84"/>
      <c r="AK844" s="84"/>
    </row>
    <row r="845" spans="9:37" ht="12.75" customHeight="1" x14ac:dyDescent="0.25">
      <c r="I845" s="84"/>
      <c r="J845" s="84"/>
      <c r="K845" s="84"/>
      <c r="N845" s="84"/>
      <c r="R845" s="84"/>
      <c r="S845" s="84"/>
      <c r="W845" s="84"/>
      <c r="Y845" s="84"/>
      <c r="AB845" s="84"/>
      <c r="AC845" s="84"/>
      <c r="AH845" s="84"/>
      <c r="AI845" s="84"/>
      <c r="AJ845" s="84"/>
      <c r="AK845" s="84"/>
    </row>
    <row r="846" spans="9:37" ht="12.75" customHeight="1" x14ac:dyDescent="0.25">
      <c r="I846" s="84"/>
      <c r="J846" s="84"/>
      <c r="K846" s="84"/>
      <c r="N846" s="84"/>
      <c r="R846" s="84"/>
      <c r="S846" s="84"/>
      <c r="W846" s="84"/>
      <c r="Y846" s="84"/>
      <c r="AB846" s="84"/>
      <c r="AC846" s="84"/>
      <c r="AH846" s="84"/>
      <c r="AI846" s="84"/>
      <c r="AJ846" s="84"/>
      <c r="AK846" s="84"/>
    </row>
    <row r="847" spans="9:37" ht="12.75" customHeight="1" x14ac:dyDescent="0.25">
      <c r="I847" s="84"/>
      <c r="J847" s="84"/>
      <c r="K847" s="84"/>
      <c r="N847" s="84"/>
      <c r="R847" s="84"/>
      <c r="S847" s="84"/>
      <c r="W847" s="84"/>
      <c r="Y847" s="84"/>
      <c r="AB847" s="84"/>
      <c r="AC847" s="84"/>
      <c r="AH847" s="84"/>
      <c r="AI847" s="84"/>
      <c r="AJ847" s="84"/>
      <c r="AK847" s="84"/>
    </row>
    <row r="848" spans="9:37" ht="12.75" customHeight="1" x14ac:dyDescent="0.25">
      <c r="I848" s="84"/>
      <c r="J848" s="84"/>
      <c r="K848" s="84"/>
      <c r="N848" s="84"/>
      <c r="R848" s="84"/>
      <c r="S848" s="84"/>
      <c r="W848" s="84"/>
      <c r="Y848" s="84"/>
      <c r="AB848" s="84"/>
      <c r="AC848" s="84"/>
      <c r="AH848" s="84"/>
      <c r="AI848" s="84"/>
      <c r="AJ848" s="84"/>
      <c r="AK848" s="84"/>
    </row>
    <row r="849" spans="9:37" ht="12.75" customHeight="1" x14ac:dyDescent="0.25">
      <c r="I849" s="84"/>
      <c r="J849" s="84"/>
      <c r="K849" s="84"/>
      <c r="N849" s="84"/>
      <c r="R849" s="84"/>
      <c r="S849" s="84"/>
      <c r="W849" s="84"/>
      <c r="Y849" s="84"/>
      <c r="AB849" s="84"/>
      <c r="AC849" s="84"/>
      <c r="AH849" s="84"/>
      <c r="AI849" s="84"/>
      <c r="AJ849" s="84"/>
      <c r="AK849" s="84"/>
    </row>
    <row r="850" spans="9:37" ht="12.75" customHeight="1" x14ac:dyDescent="0.25">
      <c r="I850" s="84"/>
      <c r="J850" s="84"/>
      <c r="K850" s="84"/>
      <c r="N850" s="84"/>
      <c r="R850" s="84"/>
      <c r="S850" s="84"/>
      <c r="W850" s="84"/>
      <c r="Y850" s="84"/>
      <c r="AB850" s="84"/>
      <c r="AC850" s="84"/>
      <c r="AH850" s="84"/>
      <c r="AI850" s="84"/>
      <c r="AJ850" s="84"/>
      <c r="AK850" s="84"/>
    </row>
    <row r="851" spans="9:37" ht="12.75" customHeight="1" x14ac:dyDescent="0.25">
      <c r="I851" s="84"/>
      <c r="J851" s="84"/>
      <c r="K851" s="84"/>
      <c r="N851" s="84"/>
      <c r="R851" s="84"/>
      <c r="S851" s="84"/>
      <c r="W851" s="84"/>
      <c r="Y851" s="84"/>
      <c r="AB851" s="84"/>
      <c r="AC851" s="84"/>
      <c r="AH851" s="84"/>
      <c r="AI851" s="84"/>
      <c r="AJ851" s="84"/>
      <c r="AK851" s="84"/>
    </row>
    <row r="852" spans="9:37" ht="12.75" customHeight="1" x14ac:dyDescent="0.25">
      <c r="I852" s="84"/>
      <c r="J852" s="84"/>
      <c r="K852" s="84"/>
      <c r="N852" s="84"/>
      <c r="R852" s="84"/>
      <c r="S852" s="84"/>
      <c r="W852" s="84"/>
      <c r="Y852" s="84"/>
      <c r="AB852" s="84"/>
      <c r="AC852" s="84"/>
      <c r="AH852" s="84"/>
      <c r="AI852" s="84"/>
      <c r="AJ852" s="84"/>
      <c r="AK852" s="84"/>
    </row>
    <row r="853" spans="9:37" ht="12.75" customHeight="1" x14ac:dyDescent="0.25">
      <c r="I853" s="84"/>
      <c r="J853" s="84"/>
      <c r="K853" s="84"/>
      <c r="N853" s="84"/>
      <c r="R853" s="84"/>
      <c r="S853" s="84"/>
      <c r="W853" s="84"/>
      <c r="Y853" s="84"/>
      <c r="AB853" s="84"/>
      <c r="AC853" s="84"/>
      <c r="AH853" s="84"/>
      <c r="AI853" s="84"/>
      <c r="AJ853" s="84"/>
      <c r="AK853" s="84"/>
    </row>
    <row r="854" spans="9:37" ht="12.75" customHeight="1" x14ac:dyDescent="0.25">
      <c r="I854" s="84"/>
      <c r="J854" s="84"/>
      <c r="K854" s="84"/>
      <c r="N854" s="84"/>
      <c r="R854" s="84"/>
      <c r="S854" s="84"/>
      <c r="W854" s="84"/>
      <c r="Y854" s="84"/>
      <c r="AB854" s="84"/>
      <c r="AC854" s="84"/>
      <c r="AH854" s="84"/>
      <c r="AI854" s="84"/>
      <c r="AJ854" s="84"/>
      <c r="AK854" s="84"/>
    </row>
    <row r="855" spans="9:37" ht="12.75" customHeight="1" x14ac:dyDescent="0.25">
      <c r="I855" s="84"/>
      <c r="J855" s="84"/>
      <c r="K855" s="84"/>
      <c r="N855" s="84"/>
      <c r="R855" s="84"/>
      <c r="S855" s="84"/>
      <c r="W855" s="84"/>
      <c r="Y855" s="84"/>
      <c r="AB855" s="84"/>
      <c r="AC855" s="84"/>
      <c r="AH855" s="84"/>
      <c r="AI855" s="84"/>
      <c r="AJ855" s="84"/>
      <c r="AK855" s="84"/>
    </row>
    <row r="856" spans="9:37" ht="12.75" customHeight="1" x14ac:dyDescent="0.25">
      <c r="I856" s="84"/>
      <c r="J856" s="84"/>
      <c r="K856" s="84"/>
      <c r="N856" s="84"/>
      <c r="R856" s="84"/>
      <c r="S856" s="84"/>
      <c r="W856" s="84"/>
      <c r="Y856" s="84"/>
      <c r="AB856" s="84"/>
      <c r="AC856" s="84"/>
      <c r="AH856" s="84"/>
      <c r="AI856" s="84"/>
      <c r="AJ856" s="84"/>
      <c r="AK856" s="84"/>
    </row>
    <row r="857" spans="9:37" ht="12.75" customHeight="1" x14ac:dyDescent="0.25">
      <c r="I857" s="84"/>
      <c r="J857" s="84"/>
      <c r="K857" s="84"/>
      <c r="N857" s="84"/>
      <c r="R857" s="84"/>
      <c r="S857" s="84"/>
      <c r="W857" s="84"/>
      <c r="Y857" s="84"/>
      <c r="AB857" s="84"/>
      <c r="AC857" s="84"/>
      <c r="AH857" s="84"/>
      <c r="AI857" s="84"/>
      <c r="AJ857" s="84"/>
      <c r="AK857" s="84"/>
    </row>
    <row r="858" spans="9:37" ht="12.75" customHeight="1" x14ac:dyDescent="0.25">
      <c r="I858" s="84"/>
      <c r="J858" s="84"/>
      <c r="K858" s="84"/>
      <c r="N858" s="84"/>
      <c r="R858" s="84"/>
      <c r="S858" s="84"/>
      <c r="W858" s="84"/>
      <c r="Y858" s="84"/>
      <c r="AB858" s="84"/>
      <c r="AC858" s="84"/>
      <c r="AH858" s="84"/>
      <c r="AI858" s="84"/>
      <c r="AJ858" s="84"/>
      <c r="AK858" s="84"/>
    </row>
    <row r="859" spans="9:37" ht="12.75" customHeight="1" x14ac:dyDescent="0.25">
      <c r="I859" s="84"/>
      <c r="J859" s="84"/>
      <c r="K859" s="84"/>
      <c r="N859" s="84"/>
      <c r="R859" s="84"/>
      <c r="S859" s="84"/>
      <c r="W859" s="84"/>
      <c r="Y859" s="84"/>
      <c r="AB859" s="84"/>
      <c r="AC859" s="84"/>
      <c r="AH859" s="84"/>
      <c r="AI859" s="84"/>
      <c r="AJ859" s="84"/>
      <c r="AK859" s="84"/>
    </row>
    <row r="860" spans="9:37" ht="12.75" customHeight="1" x14ac:dyDescent="0.25">
      <c r="I860" s="84"/>
      <c r="J860" s="84"/>
      <c r="K860" s="84"/>
      <c r="N860" s="84"/>
      <c r="R860" s="84"/>
      <c r="S860" s="84"/>
      <c r="W860" s="84"/>
      <c r="Y860" s="84"/>
      <c r="AB860" s="84"/>
      <c r="AC860" s="84"/>
      <c r="AH860" s="84"/>
      <c r="AI860" s="84"/>
      <c r="AJ860" s="84"/>
      <c r="AK860" s="84"/>
    </row>
    <row r="861" spans="9:37" ht="12.75" customHeight="1" x14ac:dyDescent="0.25">
      <c r="I861" s="84"/>
      <c r="J861" s="84"/>
      <c r="K861" s="84"/>
      <c r="N861" s="84"/>
      <c r="R861" s="84"/>
      <c r="S861" s="84"/>
      <c r="W861" s="84"/>
      <c r="Y861" s="84"/>
      <c r="AB861" s="84"/>
      <c r="AC861" s="84"/>
      <c r="AH861" s="84"/>
      <c r="AI861" s="84"/>
      <c r="AJ861" s="84"/>
      <c r="AK861" s="84"/>
    </row>
    <row r="862" spans="9:37" ht="12.75" customHeight="1" x14ac:dyDescent="0.25">
      <c r="I862" s="84"/>
      <c r="J862" s="84"/>
      <c r="K862" s="84"/>
      <c r="N862" s="84"/>
      <c r="R862" s="84"/>
      <c r="S862" s="84"/>
      <c r="W862" s="84"/>
      <c r="Y862" s="84"/>
      <c r="AB862" s="84"/>
      <c r="AC862" s="84"/>
      <c r="AH862" s="84"/>
      <c r="AI862" s="84"/>
      <c r="AJ862" s="84"/>
      <c r="AK862" s="84"/>
    </row>
    <row r="863" spans="9:37" ht="12.75" customHeight="1" x14ac:dyDescent="0.25">
      <c r="I863" s="84"/>
      <c r="J863" s="84"/>
      <c r="K863" s="84"/>
      <c r="N863" s="84"/>
      <c r="R863" s="84"/>
      <c r="S863" s="84"/>
      <c r="W863" s="84"/>
      <c r="Y863" s="84"/>
      <c r="AB863" s="84"/>
      <c r="AC863" s="84"/>
      <c r="AH863" s="84"/>
      <c r="AI863" s="84"/>
      <c r="AJ863" s="84"/>
      <c r="AK863" s="84"/>
    </row>
    <row r="864" spans="9:37" ht="12.75" customHeight="1" x14ac:dyDescent="0.25">
      <c r="I864" s="84"/>
      <c r="J864" s="84"/>
      <c r="K864" s="84"/>
      <c r="N864" s="84"/>
      <c r="R864" s="84"/>
      <c r="S864" s="84"/>
      <c r="W864" s="84"/>
      <c r="Y864" s="84"/>
      <c r="AB864" s="84"/>
      <c r="AC864" s="84"/>
      <c r="AH864" s="84"/>
      <c r="AI864" s="84"/>
      <c r="AJ864" s="84"/>
      <c r="AK864" s="84"/>
    </row>
    <row r="865" spans="9:37" ht="12.75" customHeight="1" x14ac:dyDescent="0.25">
      <c r="I865" s="84"/>
      <c r="J865" s="84"/>
      <c r="K865" s="84"/>
      <c r="N865" s="84"/>
      <c r="R865" s="84"/>
      <c r="S865" s="84"/>
      <c r="W865" s="84"/>
      <c r="Y865" s="84"/>
      <c r="AB865" s="84"/>
      <c r="AC865" s="84"/>
      <c r="AH865" s="84"/>
      <c r="AI865" s="84"/>
      <c r="AJ865" s="84"/>
      <c r="AK865" s="84"/>
    </row>
    <row r="866" spans="9:37" ht="12.75" customHeight="1" x14ac:dyDescent="0.25">
      <c r="I866" s="84"/>
      <c r="J866" s="84"/>
      <c r="K866" s="84"/>
      <c r="N866" s="84"/>
      <c r="R866" s="84"/>
      <c r="S866" s="84"/>
      <c r="W866" s="84"/>
      <c r="Y866" s="84"/>
      <c r="AB866" s="84"/>
      <c r="AC866" s="84"/>
      <c r="AH866" s="84"/>
      <c r="AI866" s="84"/>
      <c r="AJ866" s="84"/>
      <c r="AK866" s="84"/>
    </row>
    <row r="867" spans="9:37" ht="12.75" customHeight="1" x14ac:dyDescent="0.25">
      <c r="I867" s="84"/>
      <c r="J867" s="84"/>
      <c r="K867" s="84"/>
      <c r="N867" s="84"/>
      <c r="R867" s="84"/>
      <c r="S867" s="84"/>
      <c r="W867" s="84"/>
      <c r="Y867" s="84"/>
      <c r="AB867" s="84"/>
      <c r="AC867" s="84"/>
      <c r="AH867" s="84"/>
      <c r="AI867" s="84"/>
      <c r="AJ867" s="84"/>
      <c r="AK867" s="84"/>
    </row>
    <row r="868" spans="9:37" ht="12.75" customHeight="1" x14ac:dyDescent="0.25">
      <c r="I868" s="84"/>
      <c r="J868" s="84"/>
      <c r="K868" s="84"/>
      <c r="N868" s="84"/>
      <c r="R868" s="84"/>
      <c r="S868" s="84"/>
      <c r="W868" s="84"/>
      <c r="Y868" s="84"/>
      <c r="AB868" s="84"/>
      <c r="AC868" s="84"/>
      <c r="AH868" s="84"/>
      <c r="AI868" s="84"/>
      <c r="AJ868" s="84"/>
      <c r="AK868" s="84"/>
    </row>
    <row r="869" spans="9:37" ht="12.75" customHeight="1" x14ac:dyDescent="0.25">
      <c r="I869" s="84"/>
      <c r="J869" s="84"/>
      <c r="K869" s="84"/>
      <c r="N869" s="84"/>
      <c r="R869" s="84"/>
      <c r="S869" s="84"/>
      <c r="W869" s="84"/>
      <c r="Y869" s="84"/>
      <c r="AB869" s="84"/>
      <c r="AC869" s="84"/>
      <c r="AH869" s="84"/>
      <c r="AI869" s="84"/>
      <c r="AJ869" s="84"/>
      <c r="AK869" s="84"/>
    </row>
    <row r="870" spans="9:37" ht="12.75" customHeight="1" x14ac:dyDescent="0.25">
      <c r="I870" s="84"/>
      <c r="J870" s="84"/>
      <c r="K870" s="84"/>
      <c r="N870" s="84"/>
      <c r="R870" s="84"/>
      <c r="S870" s="84"/>
      <c r="W870" s="84"/>
      <c r="Y870" s="84"/>
      <c r="AB870" s="84"/>
      <c r="AC870" s="84"/>
      <c r="AH870" s="84"/>
      <c r="AI870" s="84"/>
      <c r="AJ870" s="84"/>
      <c r="AK870" s="84"/>
    </row>
    <row r="871" spans="9:37" ht="12.75" customHeight="1" x14ac:dyDescent="0.25">
      <c r="I871" s="84"/>
      <c r="J871" s="84"/>
      <c r="K871" s="84"/>
      <c r="N871" s="84"/>
      <c r="R871" s="84"/>
      <c r="S871" s="84"/>
      <c r="W871" s="84"/>
      <c r="Y871" s="84"/>
      <c r="AB871" s="84"/>
      <c r="AC871" s="84"/>
      <c r="AH871" s="84"/>
      <c r="AI871" s="84"/>
      <c r="AJ871" s="84"/>
      <c r="AK871" s="84"/>
    </row>
    <row r="872" spans="9:37" ht="12.75" customHeight="1" x14ac:dyDescent="0.25">
      <c r="I872" s="84"/>
      <c r="J872" s="84"/>
      <c r="K872" s="84"/>
      <c r="N872" s="84"/>
      <c r="R872" s="84"/>
      <c r="S872" s="84"/>
      <c r="W872" s="84"/>
      <c r="Y872" s="84"/>
      <c r="AB872" s="84"/>
      <c r="AC872" s="84"/>
      <c r="AH872" s="84"/>
      <c r="AI872" s="84"/>
      <c r="AJ872" s="84"/>
      <c r="AK872" s="84"/>
    </row>
    <row r="873" spans="9:37" ht="12.75" customHeight="1" x14ac:dyDescent="0.25">
      <c r="I873" s="84"/>
      <c r="J873" s="84"/>
      <c r="K873" s="84"/>
      <c r="N873" s="84"/>
      <c r="R873" s="84"/>
      <c r="S873" s="84"/>
      <c r="W873" s="84"/>
      <c r="Y873" s="84"/>
      <c r="AB873" s="84"/>
      <c r="AC873" s="84"/>
      <c r="AH873" s="84"/>
      <c r="AI873" s="84"/>
      <c r="AJ873" s="84"/>
      <c r="AK873" s="84"/>
    </row>
    <row r="874" spans="9:37" ht="12.75" customHeight="1" x14ac:dyDescent="0.25">
      <c r="I874" s="84"/>
      <c r="J874" s="84"/>
      <c r="K874" s="84"/>
      <c r="N874" s="84"/>
      <c r="R874" s="84"/>
      <c r="S874" s="84"/>
      <c r="W874" s="84"/>
      <c r="Y874" s="84"/>
      <c r="AB874" s="84"/>
      <c r="AC874" s="84"/>
      <c r="AH874" s="84"/>
      <c r="AI874" s="84"/>
      <c r="AJ874" s="84"/>
      <c r="AK874" s="84"/>
    </row>
    <row r="875" spans="9:37" ht="12.75" customHeight="1" x14ac:dyDescent="0.25">
      <c r="I875" s="84"/>
      <c r="J875" s="84"/>
      <c r="K875" s="84"/>
      <c r="N875" s="84"/>
      <c r="R875" s="84"/>
      <c r="S875" s="84"/>
      <c r="W875" s="84"/>
      <c r="Y875" s="84"/>
      <c r="AB875" s="84"/>
      <c r="AC875" s="84"/>
      <c r="AH875" s="84"/>
      <c r="AI875" s="84"/>
      <c r="AJ875" s="84"/>
      <c r="AK875" s="84"/>
    </row>
    <row r="876" spans="9:37" ht="12.75" customHeight="1" x14ac:dyDescent="0.25">
      <c r="I876" s="84"/>
      <c r="J876" s="84"/>
      <c r="K876" s="84"/>
      <c r="N876" s="84"/>
      <c r="R876" s="84"/>
      <c r="S876" s="84"/>
      <c r="W876" s="84"/>
      <c r="Y876" s="84"/>
      <c r="AB876" s="84"/>
      <c r="AC876" s="84"/>
      <c r="AH876" s="84"/>
      <c r="AI876" s="84"/>
      <c r="AJ876" s="84"/>
      <c r="AK876" s="84"/>
    </row>
    <row r="877" spans="9:37" ht="12.75" customHeight="1" x14ac:dyDescent="0.25">
      <c r="I877" s="84"/>
      <c r="J877" s="84"/>
      <c r="K877" s="84"/>
      <c r="N877" s="84"/>
      <c r="R877" s="84"/>
      <c r="S877" s="84"/>
      <c r="W877" s="84"/>
      <c r="Y877" s="84"/>
      <c r="AB877" s="84"/>
      <c r="AC877" s="84"/>
      <c r="AH877" s="84"/>
      <c r="AI877" s="84"/>
      <c r="AJ877" s="84"/>
      <c r="AK877" s="84"/>
    </row>
    <row r="878" spans="9:37" ht="12.75" customHeight="1" x14ac:dyDescent="0.25">
      <c r="I878" s="84"/>
      <c r="J878" s="84"/>
      <c r="K878" s="84"/>
      <c r="N878" s="84"/>
      <c r="R878" s="84"/>
      <c r="S878" s="84"/>
      <c r="W878" s="84"/>
      <c r="Y878" s="84"/>
      <c r="AB878" s="84"/>
      <c r="AC878" s="84"/>
      <c r="AH878" s="84"/>
      <c r="AI878" s="84"/>
      <c r="AJ878" s="84"/>
      <c r="AK878" s="84"/>
    </row>
    <row r="879" spans="9:37" ht="12.75" customHeight="1" x14ac:dyDescent="0.25">
      <c r="I879" s="84"/>
      <c r="J879" s="84"/>
      <c r="K879" s="84"/>
      <c r="N879" s="84"/>
      <c r="R879" s="84"/>
      <c r="S879" s="84"/>
      <c r="W879" s="84"/>
      <c r="Y879" s="84"/>
      <c r="AB879" s="84"/>
      <c r="AC879" s="84"/>
      <c r="AH879" s="84"/>
      <c r="AI879" s="84"/>
      <c r="AJ879" s="84"/>
      <c r="AK879" s="84"/>
    </row>
    <row r="880" spans="9:37" ht="12.75" customHeight="1" x14ac:dyDescent="0.25">
      <c r="I880" s="84"/>
      <c r="J880" s="84"/>
      <c r="K880" s="84"/>
      <c r="N880" s="84"/>
      <c r="R880" s="84"/>
      <c r="S880" s="84"/>
      <c r="W880" s="84"/>
      <c r="Y880" s="84"/>
      <c r="AB880" s="84"/>
      <c r="AC880" s="84"/>
      <c r="AH880" s="84"/>
      <c r="AI880" s="84"/>
      <c r="AJ880" s="84"/>
      <c r="AK880" s="84"/>
    </row>
    <row r="881" spans="9:37" ht="12.75" customHeight="1" x14ac:dyDescent="0.25">
      <c r="I881" s="84"/>
      <c r="J881" s="84"/>
      <c r="K881" s="84"/>
      <c r="N881" s="84"/>
      <c r="R881" s="84"/>
      <c r="S881" s="84"/>
      <c r="W881" s="84"/>
      <c r="Y881" s="84"/>
      <c r="AB881" s="84"/>
      <c r="AC881" s="84"/>
      <c r="AH881" s="84"/>
      <c r="AI881" s="84"/>
      <c r="AJ881" s="84"/>
      <c r="AK881" s="84"/>
    </row>
    <row r="882" spans="9:37" ht="12.75" customHeight="1" x14ac:dyDescent="0.25">
      <c r="I882" s="84"/>
      <c r="J882" s="84"/>
      <c r="K882" s="84"/>
      <c r="N882" s="84"/>
      <c r="R882" s="84"/>
      <c r="S882" s="84"/>
      <c r="W882" s="84"/>
      <c r="Y882" s="84"/>
      <c r="AB882" s="84"/>
      <c r="AC882" s="84"/>
      <c r="AH882" s="84"/>
      <c r="AI882" s="84"/>
      <c r="AJ882" s="84"/>
      <c r="AK882" s="84"/>
    </row>
    <row r="883" spans="9:37" ht="12.75" customHeight="1" x14ac:dyDescent="0.25">
      <c r="I883" s="84"/>
      <c r="J883" s="84"/>
      <c r="K883" s="84"/>
      <c r="N883" s="84"/>
      <c r="R883" s="84"/>
      <c r="S883" s="84"/>
      <c r="W883" s="84"/>
      <c r="Y883" s="84"/>
      <c r="AB883" s="84"/>
      <c r="AC883" s="84"/>
      <c r="AH883" s="84"/>
      <c r="AI883" s="84"/>
      <c r="AJ883" s="84"/>
      <c r="AK883" s="84"/>
    </row>
    <row r="884" spans="9:37" ht="12.75" customHeight="1" x14ac:dyDescent="0.25">
      <c r="I884" s="84"/>
      <c r="J884" s="84"/>
      <c r="K884" s="84"/>
      <c r="N884" s="84"/>
      <c r="R884" s="84"/>
      <c r="S884" s="84"/>
      <c r="W884" s="84"/>
      <c r="Y884" s="84"/>
      <c r="AB884" s="84"/>
      <c r="AC884" s="84"/>
      <c r="AH884" s="84"/>
      <c r="AI884" s="84"/>
      <c r="AJ884" s="84"/>
      <c r="AK884" s="84"/>
    </row>
    <row r="885" spans="9:37" ht="12.75" customHeight="1" x14ac:dyDescent="0.25">
      <c r="I885" s="84"/>
      <c r="J885" s="84"/>
      <c r="K885" s="84"/>
      <c r="N885" s="84"/>
      <c r="R885" s="84"/>
      <c r="S885" s="84"/>
      <c r="W885" s="84"/>
      <c r="Y885" s="84"/>
      <c r="AB885" s="84"/>
      <c r="AC885" s="84"/>
      <c r="AH885" s="84"/>
      <c r="AI885" s="84"/>
      <c r="AJ885" s="84"/>
      <c r="AK885" s="84"/>
    </row>
    <row r="886" spans="9:37" ht="12.75" customHeight="1" x14ac:dyDescent="0.25">
      <c r="I886" s="84"/>
      <c r="J886" s="84"/>
      <c r="K886" s="84"/>
      <c r="N886" s="84"/>
      <c r="R886" s="84"/>
      <c r="S886" s="84"/>
      <c r="W886" s="84"/>
      <c r="Y886" s="84"/>
      <c r="AB886" s="84"/>
      <c r="AC886" s="84"/>
      <c r="AH886" s="84"/>
      <c r="AI886" s="84"/>
      <c r="AJ886" s="84"/>
      <c r="AK886" s="84"/>
    </row>
    <row r="887" spans="9:37" ht="12.75" customHeight="1" x14ac:dyDescent="0.25">
      <c r="I887" s="84"/>
      <c r="J887" s="84"/>
      <c r="K887" s="84"/>
      <c r="N887" s="84"/>
      <c r="R887" s="84"/>
      <c r="S887" s="84"/>
      <c r="W887" s="84"/>
      <c r="Y887" s="84"/>
      <c r="AB887" s="84"/>
      <c r="AC887" s="84"/>
      <c r="AH887" s="84"/>
      <c r="AI887" s="84"/>
      <c r="AJ887" s="84"/>
      <c r="AK887" s="84"/>
    </row>
    <row r="888" spans="9:37" ht="12.75" customHeight="1" x14ac:dyDescent="0.25">
      <c r="I888" s="84"/>
      <c r="J888" s="84"/>
      <c r="K888" s="84"/>
      <c r="N888" s="84"/>
      <c r="R888" s="84"/>
      <c r="S888" s="84"/>
      <c r="W888" s="84"/>
      <c r="Y888" s="84"/>
      <c r="AB888" s="84"/>
      <c r="AC888" s="84"/>
      <c r="AH888" s="84"/>
      <c r="AI888" s="84"/>
      <c r="AJ888" s="84"/>
      <c r="AK888" s="84"/>
    </row>
    <row r="889" spans="9:37" ht="12.75" customHeight="1" x14ac:dyDescent="0.25">
      <c r="I889" s="84"/>
      <c r="J889" s="84"/>
      <c r="K889" s="84"/>
      <c r="N889" s="84"/>
      <c r="R889" s="84"/>
      <c r="S889" s="84"/>
      <c r="W889" s="84"/>
      <c r="Y889" s="84"/>
      <c r="AB889" s="84"/>
      <c r="AC889" s="84"/>
      <c r="AH889" s="84"/>
      <c r="AI889" s="84"/>
      <c r="AJ889" s="84"/>
      <c r="AK889" s="84"/>
    </row>
    <row r="890" spans="9:37" ht="12.75" customHeight="1" x14ac:dyDescent="0.25">
      <c r="I890" s="84"/>
      <c r="J890" s="84"/>
      <c r="K890" s="84"/>
      <c r="N890" s="84"/>
      <c r="R890" s="84"/>
      <c r="S890" s="84"/>
      <c r="W890" s="84"/>
      <c r="Y890" s="84"/>
      <c r="AB890" s="84"/>
      <c r="AC890" s="84"/>
      <c r="AH890" s="84"/>
      <c r="AI890" s="84"/>
      <c r="AJ890" s="84"/>
      <c r="AK890" s="84"/>
    </row>
    <row r="891" spans="9:37" ht="12.75" customHeight="1" x14ac:dyDescent="0.25">
      <c r="I891" s="84"/>
      <c r="J891" s="84"/>
      <c r="K891" s="84"/>
      <c r="N891" s="84"/>
      <c r="R891" s="84"/>
      <c r="S891" s="84"/>
      <c r="W891" s="84"/>
      <c r="Y891" s="84"/>
      <c r="AB891" s="84"/>
      <c r="AC891" s="84"/>
      <c r="AH891" s="84"/>
      <c r="AI891" s="84"/>
      <c r="AJ891" s="84"/>
      <c r="AK891" s="84"/>
    </row>
    <row r="892" spans="9:37" ht="12.75" customHeight="1" x14ac:dyDescent="0.25">
      <c r="I892" s="84"/>
      <c r="J892" s="84"/>
      <c r="K892" s="84"/>
      <c r="N892" s="84"/>
      <c r="R892" s="84"/>
      <c r="S892" s="84"/>
      <c r="W892" s="84"/>
      <c r="Y892" s="84"/>
      <c r="AB892" s="84"/>
      <c r="AC892" s="84"/>
      <c r="AH892" s="84"/>
      <c r="AI892" s="84"/>
      <c r="AJ892" s="84"/>
      <c r="AK892" s="84"/>
    </row>
    <row r="893" spans="9:37" ht="12.75" customHeight="1" x14ac:dyDescent="0.25">
      <c r="I893" s="84"/>
      <c r="J893" s="84"/>
      <c r="K893" s="84"/>
      <c r="N893" s="84"/>
      <c r="R893" s="84"/>
      <c r="S893" s="84"/>
      <c r="W893" s="84"/>
      <c r="Y893" s="84"/>
      <c r="AB893" s="84"/>
      <c r="AC893" s="84"/>
      <c r="AH893" s="84"/>
      <c r="AI893" s="84"/>
      <c r="AJ893" s="84"/>
      <c r="AK893" s="84"/>
    </row>
    <row r="894" spans="9:37" ht="12.75" customHeight="1" x14ac:dyDescent="0.25">
      <c r="I894" s="84"/>
      <c r="J894" s="84"/>
      <c r="K894" s="84"/>
      <c r="N894" s="84"/>
      <c r="R894" s="84"/>
      <c r="S894" s="84"/>
      <c r="W894" s="84"/>
      <c r="Y894" s="84"/>
      <c r="AB894" s="84"/>
      <c r="AC894" s="84"/>
      <c r="AH894" s="84"/>
      <c r="AI894" s="84"/>
      <c r="AJ894" s="84"/>
      <c r="AK894" s="84"/>
    </row>
    <row r="895" spans="9:37" ht="12.75" customHeight="1" x14ac:dyDescent="0.25">
      <c r="I895" s="84"/>
      <c r="J895" s="84"/>
      <c r="K895" s="84"/>
      <c r="N895" s="84"/>
      <c r="R895" s="84"/>
      <c r="S895" s="84"/>
      <c r="W895" s="84"/>
      <c r="Y895" s="84"/>
      <c r="AB895" s="84"/>
      <c r="AC895" s="84"/>
      <c r="AH895" s="84"/>
      <c r="AI895" s="84"/>
      <c r="AJ895" s="84"/>
      <c r="AK895" s="84"/>
    </row>
    <row r="896" spans="9:37" ht="12.75" customHeight="1" x14ac:dyDescent="0.25">
      <c r="I896" s="84"/>
      <c r="J896" s="84"/>
      <c r="K896" s="84"/>
      <c r="N896" s="84"/>
      <c r="R896" s="84"/>
      <c r="S896" s="84"/>
      <c r="W896" s="84"/>
      <c r="Y896" s="84"/>
      <c r="AB896" s="84"/>
      <c r="AC896" s="84"/>
      <c r="AH896" s="84"/>
      <c r="AI896" s="84"/>
      <c r="AJ896" s="84"/>
      <c r="AK896" s="84"/>
    </row>
    <row r="897" spans="9:37" ht="12.75" customHeight="1" x14ac:dyDescent="0.25">
      <c r="I897" s="84"/>
      <c r="J897" s="84"/>
      <c r="K897" s="84"/>
      <c r="N897" s="84"/>
      <c r="R897" s="84"/>
      <c r="S897" s="84"/>
      <c r="W897" s="84"/>
      <c r="Y897" s="84"/>
      <c r="AB897" s="84"/>
      <c r="AC897" s="84"/>
      <c r="AH897" s="84"/>
      <c r="AI897" s="84"/>
      <c r="AJ897" s="84"/>
      <c r="AK897" s="84"/>
    </row>
    <row r="898" spans="9:37" ht="12.75" customHeight="1" x14ac:dyDescent="0.25">
      <c r="I898" s="84"/>
      <c r="J898" s="84"/>
      <c r="K898" s="84"/>
      <c r="N898" s="84"/>
      <c r="R898" s="84"/>
      <c r="S898" s="84"/>
      <c r="W898" s="84"/>
      <c r="Y898" s="84"/>
      <c r="AB898" s="84"/>
      <c r="AC898" s="84"/>
      <c r="AH898" s="84"/>
      <c r="AI898" s="84"/>
      <c r="AJ898" s="84"/>
      <c r="AK898" s="84"/>
    </row>
    <row r="899" spans="9:37" ht="12.75" customHeight="1" x14ac:dyDescent="0.25">
      <c r="I899" s="84"/>
      <c r="J899" s="84"/>
      <c r="K899" s="84"/>
      <c r="N899" s="84"/>
      <c r="R899" s="84"/>
      <c r="S899" s="84"/>
      <c r="W899" s="84"/>
      <c r="Y899" s="84"/>
      <c r="AB899" s="84"/>
      <c r="AC899" s="84"/>
      <c r="AH899" s="84"/>
      <c r="AI899" s="84"/>
      <c r="AJ899" s="84"/>
      <c r="AK899" s="84"/>
    </row>
    <row r="900" spans="9:37" ht="12.75" customHeight="1" x14ac:dyDescent="0.25">
      <c r="I900" s="84"/>
      <c r="J900" s="84"/>
      <c r="K900" s="84"/>
      <c r="N900" s="84"/>
      <c r="R900" s="84"/>
      <c r="S900" s="84"/>
      <c r="W900" s="84"/>
      <c r="Y900" s="84"/>
      <c r="AB900" s="84"/>
      <c r="AC900" s="84"/>
      <c r="AH900" s="84"/>
      <c r="AI900" s="84"/>
      <c r="AJ900" s="84"/>
      <c r="AK900" s="84"/>
    </row>
    <row r="901" spans="9:37" ht="12.75" customHeight="1" x14ac:dyDescent="0.25">
      <c r="I901" s="84"/>
      <c r="J901" s="84"/>
      <c r="K901" s="84"/>
      <c r="N901" s="84"/>
      <c r="R901" s="84"/>
      <c r="S901" s="84"/>
      <c r="W901" s="84"/>
      <c r="Y901" s="84"/>
      <c r="AB901" s="84"/>
      <c r="AC901" s="84"/>
      <c r="AH901" s="84"/>
      <c r="AI901" s="84"/>
      <c r="AJ901" s="84"/>
      <c r="AK901" s="84"/>
    </row>
    <row r="902" spans="9:37" ht="12.75" customHeight="1" x14ac:dyDescent="0.25">
      <c r="I902" s="84"/>
      <c r="J902" s="84"/>
      <c r="K902" s="84"/>
      <c r="N902" s="84"/>
      <c r="R902" s="84"/>
      <c r="S902" s="84"/>
      <c r="W902" s="84"/>
      <c r="Y902" s="84"/>
      <c r="AB902" s="84"/>
      <c r="AC902" s="84"/>
      <c r="AH902" s="84"/>
      <c r="AI902" s="84"/>
      <c r="AJ902" s="84"/>
      <c r="AK902" s="84"/>
    </row>
    <row r="903" spans="9:37" ht="12.75" customHeight="1" x14ac:dyDescent="0.25">
      <c r="I903" s="84"/>
      <c r="J903" s="84"/>
      <c r="K903" s="84"/>
      <c r="N903" s="84"/>
      <c r="R903" s="84"/>
      <c r="S903" s="84"/>
      <c r="W903" s="84"/>
      <c r="Y903" s="84"/>
      <c r="AB903" s="84"/>
      <c r="AC903" s="84"/>
      <c r="AH903" s="84"/>
      <c r="AI903" s="84"/>
      <c r="AJ903" s="84"/>
      <c r="AK903" s="84"/>
    </row>
    <row r="904" spans="9:37" ht="12.75" customHeight="1" x14ac:dyDescent="0.25">
      <c r="I904" s="84"/>
      <c r="J904" s="84"/>
      <c r="K904" s="84"/>
      <c r="N904" s="84"/>
      <c r="R904" s="84"/>
      <c r="S904" s="84"/>
      <c r="W904" s="84"/>
      <c r="Y904" s="84"/>
      <c r="AB904" s="84"/>
      <c r="AC904" s="84"/>
      <c r="AH904" s="84"/>
      <c r="AI904" s="84"/>
      <c r="AJ904" s="84"/>
      <c r="AK904" s="84"/>
    </row>
    <row r="905" spans="9:37" ht="12.75" customHeight="1" x14ac:dyDescent="0.25">
      <c r="I905" s="84"/>
      <c r="J905" s="84"/>
      <c r="K905" s="84"/>
      <c r="N905" s="84"/>
      <c r="R905" s="84"/>
      <c r="S905" s="84"/>
      <c r="W905" s="84"/>
      <c r="Y905" s="84"/>
      <c r="AB905" s="84"/>
      <c r="AC905" s="84"/>
      <c r="AH905" s="84"/>
      <c r="AI905" s="84"/>
      <c r="AJ905" s="84"/>
      <c r="AK905" s="84"/>
    </row>
    <row r="906" spans="9:37" ht="12.75" customHeight="1" x14ac:dyDescent="0.25">
      <c r="I906" s="84"/>
      <c r="J906" s="84"/>
      <c r="K906" s="84"/>
      <c r="N906" s="84"/>
      <c r="R906" s="84"/>
      <c r="S906" s="84"/>
      <c r="W906" s="84"/>
      <c r="Y906" s="84"/>
      <c r="AB906" s="84"/>
      <c r="AC906" s="84"/>
      <c r="AH906" s="84"/>
      <c r="AI906" s="84"/>
      <c r="AJ906" s="84"/>
      <c r="AK906" s="84"/>
    </row>
    <row r="907" spans="9:37" ht="12.75" customHeight="1" x14ac:dyDescent="0.25">
      <c r="I907" s="84"/>
      <c r="J907" s="84"/>
      <c r="K907" s="84"/>
      <c r="N907" s="84"/>
      <c r="R907" s="84"/>
      <c r="S907" s="84"/>
      <c r="W907" s="84"/>
      <c r="Y907" s="84"/>
      <c r="AB907" s="84"/>
      <c r="AC907" s="84"/>
      <c r="AH907" s="84"/>
      <c r="AI907" s="84"/>
      <c r="AJ907" s="84"/>
      <c r="AK907" s="84"/>
    </row>
    <row r="908" spans="9:37" ht="12.75" customHeight="1" x14ac:dyDescent="0.25">
      <c r="I908" s="84"/>
      <c r="J908" s="84"/>
      <c r="K908" s="84"/>
      <c r="N908" s="84"/>
      <c r="R908" s="84"/>
      <c r="S908" s="84"/>
      <c r="W908" s="84"/>
      <c r="Y908" s="84"/>
      <c r="AB908" s="84"/>
      <c r="AC908" s="84"/>
      <c r="AH908" s="84"/>
      <c r="AI908" s="84"/>
      <c r="AJ908" s="84"/>
      <c r="AK908" s="84"/>
    </row>
    <row r="909" spans="9:37" ht="12.75" customHeight="1" x14ac:dyDescent="0.25">
      <c r="I909" s="84"/>
      <c r="J909" s="84"/>
      <c r="K909" s="84"/>
      <c r="N909" s="84"/>
      <c r="R909" s="84"/>
      <c r="S909" s="84"/>
      <c r="W909" s="84"/>
      <c r="Y909" s="84"/>
      <c r="AB909" s="84"/>
      <c r="AC909" s="84"/>
      <c r="AH909" s="84"/>
      <c r="AI909" s="84"/>
      <c r="AJ909" s="84"/>
      <c r="AK909" s="84"/>
    </row>
    <row r="910" spans="9:37" ht="12.75" customHeight="1" x14ac:dyDescent="0.25">
      <c r="I910" s="84"/>
      <c r="J910" s="84"/>
      <c r="K910" s="84"/>
      <c r="N910" s="84"/>
      <c r="R910" s="84"/>
      <c r="S910" s="84"/>
      <c r="W910" s="84"/>
      <c r="Y910" s="84"/>
      <c r="AB910" s="84"/>
      <c r="AC910" s="84"/>
      <c r="AH910" s="84"/>
      <c r="AI910" s="84"/>
      <c r="AJ910" s="84"/>
      <c r="AK910" s="84"/>
    </row>
    <row r="911" spans="9:37" ht="12.75" customHeight="1" x14ac:dyDescent="0.25">
      <c r="I911" s="84"/>
      <c r="J911" s="84"/>
      <c r="K911" s="84"/>
      <c r="N911" s="84"/>
      <c r="R911" s="84"/>
      <c r="S911" s="84"/>
      <c r="W911" s="84"/>
      <c r="Y911" s="84"/>
      <c r="AB911" s="84"/>
      <c r="AC911" s="84"/>
      <c r="AH911" s="84"/>
      <c r="AI911" s="84"/>
      <c r="AJ911" s="84"/>
      <c r="AK911" s="84"/>
    </row>
    <row r="912" spans="9:37" ht="12.75" customHeight="1" x14ac:dyDescent="0.25">
      <c r="I912" s="84"/>
      <c r="J912" s="84"/>
      <c r="K912" s="84"/>
      <c r="N912" s="84"/>
      <c r="R912" s="84"/>
      <c r="S912" s="84"/>
      <c r="W912" s="84"/>
      <c r="Y912" s="84"/>
      <c r="AB912" s="84"/>
      <c r="AC912" s="84"/>
      <c r="AH912" s="84"/>
      <c r="AI912" s="84"/>
      <c r="AJ912" s="84"/>
      <c r="AK912" s="84"/>
    </row>
    <row r="913" spans="9:37" ht="12.75" customHeight="1" x14ac:dyDescent="0.25">
      <c r="I913" s="84"/>
      <c r="J913" s="84"/>
      <c r="K913" s="84"/>
      <c r="N913" s="84"/>
      <c r="R913" s="84"/>
      <c r="S913" s="84"/>
      <c r="W913" s="84"/>
      <c r="Y913" s="84"/>
      <c r="AB913" s="84"/>
      <c r="AC913" s="84"/>
      <c r="AH913" s="84"/>
      <c r="AI913" s="84"/>
      <c r="AJ913" s="84"/>
      <c r="AK913" s="84"/>
    </row>
    <row r="914" spans="9:37" ht="12.75" customHeight="1" x14ac:dyDescent="0.25">
      <c r="I914" s="84"/>
      <c r="J914" s="84"/>
      <c r="K914" s="84"/>
      <c r="N914" s="84"/>
      <c r="R914" s="84"/>
      <c r="S914" s="84"/>
      <c r="W914" s="84"/>
      <c r="Y914" s="84"/>
      <c r="AB914" s="84"/>
      <c r="AC914" s="84"/>
      <c r="AH914" s="84"/>
      <c r="AI914" s="84"/>
      <c r="AJ914" s="84"/>
      <c r="AK914" s="84"/>
    </row>
    <row r="915" spans="9:37" ht="12.75" customHeight="1" x14ac:dyDescent="0.25">
      <c r="I915" s="84"/>
      <c r="J915" s="84"/>
      <c r="K915" s="84"/>
      <c r="N915" s="84"/>
      <c r="R915" s="84"/>
      <c r="S915" s="84"/>
      <c r="W915" s="84"/>
      <c r="Y915" s="84"/>
      <c r="AB915" s="84"/>
      <c r="AC915" s="84"/>
      <c r="AH915" s="84"/>
      <c r="AI915" s="84"/>
      <c r="AJ915" s="84"/>
      <c r="AK915" s="84"/>
    </row>
    <row r="916" spans="9:37" ht="12.75" customHeight="1" x14ac:dyDescent="0.25">
      <c r="I916" s="84"/>
      <c r="J916" s="84"/>
      <c r="K916" s="84"/>
      <c r="N916" s="84"/>
      <c r="R916" s="84"/>
      <c r="S916" s="84"/>
      <c r="W916" s="84"/>
      <c r="Y916" s="84"/>
      <c r="AB916" s="84"/>
      <c r="AC916" s="84"/>
      <c r="AH916" s="84"/>
      <c r="AI916" s="84"/>
      <c r="AJ916" s="84"/>
      <c r="AK916" s="84"/>
    </row>
    <row r="917" spans="9:37" ht="12.75" customHeight="1" x14ac:dyDescent="0.25">
      <c r="I917" s="84"/>
      <c r="J917" s="84"/>
      <c r="K917" s="84"/>
      <c r="N917" s="84"/>
      <c r="R917" s="84"/>
      <c r="S917" s="84"/>
      <c r="W917" s="84"/>
      <c r="Y917" s="84"/>
      <c r="AB917" s="84"/>
      <c r="AC917" s="84"/>
      <c r="AH917" s="84"/>
      <c r="AI917" s="84"/>
      <c r="AJ917" s="84"/>
      <c r="AK917" s="84"/>
    </row>
    <row r="918" spans="9:37" ht="12.75" customHeight="1" x14ac:dyDescent="0.25">
      <c r="I918" s="84"/>
      <c r="J918" s="84"/>
      <c r="K918" s="84"/>
      <c r="N918" s="84"/>
      <c r="R918" s="84"/>
      <c r="S918" s="84"/>
      <c r="W918" s="84"/>
      <c r="Y918" s="84"/>
      <c r="AB918" s="84"/>
      <c r="AC918" s="84"/>
      <c r="AH918" s="84"/>
      <c r="AI918" s="84"/>
      <c r="AJ918" s="84"/>
      <c r="AK918" s="84"/>
    </row>
    <row r="919" spans="9:37" ht="12.75" customHeight="1" x14ac:dyDescent="0.25">
      <c r="I919" s="84"/>
      <c r="J919" s="84"/>
      <c r="K919" s="84"/>
      <c r="N919" s="84"/>
      <c r="R919" s="84"/>
      <c r="S919" s="84"/>
      <c r="W919" s="84"/>
      <c r="Y919" s="84"/>
      <c r="AB919" s="84"/>
      <c r="AC919" s="84"/>
      <c r="AH919" s="84"/>
      <c r="AI919" s="84"/>
      <c r="AJ919" s="84"/>
      <c r="AK919" s="84"/>
    </row>
    <row r="920" spans="9:37" ht="12.75" customHeight="1" x14ac:dyDescent="0.25">
      <c r="I920" s="84"/>
      <c r="J920" s="84"/>
      <c r="K920" s="84"/>
      <c r="N920" s="84"/>
      <c r="R920" s="84"/>
      <c r="S920" s="84"/>
      <c r="W920" s="84"/>
      <c r="Y920" s="84"/>
      <c r="AB920" s="84"/>
      <c r="AC920" s="84"/>
      <c r="AH920" s="84"/>
      <c r="AI920" s="84"/>
      <c r="AJ920" s="84"/>
      <c r="AK920" s="84"/>
    </row>
    <row r="921" spans="9:37" ht="12.75" customHeight="1" x14ac:dyDescent="0.25">
      <c r="I921" s="84"/>
      <c r="J921" s="84"/>
      <c r="K921" s="84"/>
      <c r="N921" s="84"/>
      <c r="R921" s="84"/>
      <c r="S921" s="84"/>
      <c r="W921" s="84"/>
      <c r="Y921" s="84"/>
      <c r="AB921" s="84"/>
      <c r="AC921" s="84"/>
      <c r="AH921" s="84"/>
      <c r="AI921" s="84"/>
      <c r="AJ921" s="84"/>
      <c r="AK921" s="84"/>
    </row>
    <row r="922" spans="9:37" ht="12.75" customHeight="1" x14ac:dyDescent="0.25">
      <c r="I922" s="84"/>
      <c r="J922" s="84"/>
      <c r="K922" s="84"/>
      <c r="N922" s="84"/>
      <c r="R922" s="84"/>
      <c r="S922" s="84"/>
      <c r="W922" s="84"/>
      <c r="Y922" s="84"/>
      <c r="AB922" s="84"/>
      <c r="AC922" s="84"/>
      <c r="AH922" s="84"/>
      <c r="AI922" s="84"/>
      <c r="AJ922" s="84"/>
      <c r="AK922" s="84"/>
    </row>
    <row r="923" spans="9:37" ht="12.75" customHeight="1" x14ac:dyDescent="0.25">
      <c r="I923" s="84"/>
      <c r="J923" s="84"/>
      <c r="K923" s="84"/>
      <c r="N923" s="84"/>
      <c r="R923" s="84"/>
      <c r="S923" s="84"/>
      <c r="W923" s="84"/>
      <c r="Y923" s="84"/>
      <c r="AB923" s="84"/>
      <c r="AC923" s="84"/>
      <c r="AH923" s="84"/>
      <c r="AI923" s="84"/>
      <c r="AJ923" s="84"/>
      <c r="AK923" s="84"/>
    </row>
    <row r="924" spans="9:37" ht="12.75" customHeight="1" x14ac:dyDescent="0.25">
      <c r="I924" s="84"/>
      <c r="J924" s="84"/>
      <c r="K924" s="84"/>
      <c r="N924" s="84"/>
      <c r="R924" s="84"/>
      <c r="S924" s="84"/>
      <c r="W924" s="84"/>
      <c r="Y924" s="84"/>
      <c r="AB924" s="84"/>
      <c r="AC924" s="84"/>
      <c r="AH924" s="84"/>
      <c r="AI924" s="84"/>
      <c r="AJ924" s="84"/>
      <c r="AK924" s="84"/>
    </row>
    <row r="925" spans="9:37" ht="12.75" customHeight="1" x14ac:dyDescent="0.25">
      <c r="I925" s="84"/>
      <c r="J925" s="84"/>
      <c r="K925" s="84"/>
      <c r="N925" s="84"/>
      <c r="R925" s="84"/>
      <c r="S925" s="84"/>
      <c r="W925" s="84"/>
      <c r="Y925" s="84"/>
      <c r="AB925" s="84"/>
      <c r="AC925" s="84"/>
      <c r="AH925" s="84"/>
      <c r="AI925" s="84"/>
      <c r="AJ925" s="84"/>
      <c r="AK925" s="84"/>
    </row>
    <row r="926" spans="9:37" ht="12.75" customHeight="1" x14ac:dyDescent="0.25">
      <c r="I926" s="84"/>
      <c r="J926" s="84"/>
      <c r="K926" s="84"/>
      <c r="N926" s="84"/>
      <c r="R926" s="84"/>
      <c r="S926" s="84"/>
      <c r="W926" s="84"/>
      <c r="Y926" s="84"/>
      <c r="AB926" s="84"/>
      <c r="AC926" s="84"/>
      <c r="AH926" s="84"/>
      <c r="AI926" s="84"/>
      <c r="AJ926" s="84"/>
      <c r="AK926" s="84"/>
    </row>
    <row r="927" spans="9:37" ht="12.75" customHeight="1" x14ac:dyDescent="0.25">
      <c r="I927" s="84"/>
      <c r="J927" s="84"/>
      <c r="K927" s="84"/>
      <c r="N927" s="84"/>
      <c r="R927" s="84"/>
      <c r="S927" s="84"/>
      <c r="W927" s="84"/>
      <c r="Y927" s="84"/>
      <c r="AB927" s="84"/>
      <c r="AC927" s="84"/>
      <c r="AH927" s="84"/>
      <c r="AI927" s="84"/>
      <c r="AJ927" s="84"/>
      <c r="AK927" s="84"/>
    </row>
    <row r="928" spans="9:37" ht="12.75" customHeight="1" x14ac:dyDescent="0.25">
      <c r="I928" s="84"/>
      <c r="J928" s="84"/>
      <c r="K928" s="84"/>
      <c r="N928" s="84"/>
      <c r="R928" s="84"/>
      <c r="S928" s="84"/>
      <c r="W928" s="84"/>
      <c r="Y928" s="84"/>
      <c r="AB928" s="84"/>
      <c r="AC928" s="84"/>
      <c r="AH928" s="84"/>
      <c r="AI928" s="84"/>
      <c r="AJ928" s="84"/>
      <c r="AK928" s="84"/>
    </row>
    <row r="929" spans="9:37" ht="12.75" customHeight="1" x14ac:dyDescent="0.25">
      <c r="I929" s="84"/>
      <c r="J929" s="84"/>
      <c r="K929" s="84"/>
      <c r="N929" s="84"/>
      <c r="R929" s="84"/>
      <c r="S929" s="84"/>
      <c r="W929" s="84"/>
      <c r="Y929" s="84"/>
      <c r="AB929" s="84"/>
      <c r="AC929" s="84"/>
      <c r="AH929" s="84"/>
      <c r="AI929" s="84"/>
      <c r="AJ929" s="84"/>
      <c r="AK929" s="84"/>
    </row>
    <row r="930" spans="9:37" ht="12.75" customHeight="1" x14ac:dyDescent="0.25">
      <c r="I930" s="84"/>
      <c r="J930" s="84"/>
      <c r="K930" s="84"/>
      <c r="N930" s="84"/>
      <c r="R930" s="84"/>
      <c r="S930" s="84"/>
      <c r="W930" s="84"/>
      <c r="Y930" s="84"/>
      <c r="AB930" s="84"/>
      <c r="AC930" s="84"/>
      <c r="AH930" s="84"/>
      <c r="AI930" s="84"/>
      <c r="AJ930" s="84"/>
      <c r="AK930" s="84"/>
    </row>
    <row r="931" spans="9:37" ht="12.75" customHeight="1" x14ac:dyDescent="0.25">
      <c r="I931" s="84"/>
      <c r="J931" s="84"/>
      <c r="K931" s="84"/>
      <c r="N931" s="84"/>
      <c r="R931" s="84"/>
      <c r="S931" s="84"/>
      <c r="W931" s="84"/>
      <c r="Y931" s="84"/>
      <c r="AB931" s="84"/>
      <c r="AC931" s="84"/>
      <c r="AH931" s="84"/>
      <c r="AI931" s="84"/>
      <c r="AJ931" s="84"/>
      <c r="AK931" s="84"/>
    </row>
    <row r="932" spans="9:37" ht="12.75" customHeight="1" x14ac:dyDescent="0.25">
      <c r="I932" s="84"/>
      <c r="J932" s="84"/>
      <c r="K932" s="84"/>
      <c r="N932" s="84"/>
      <c r="R932" s="84"/>
      <c r="S932" s="84"/>
      <c r="W932" s="84"/>
      <c r="Y932" s="84"/>
      <c r="AB932" s="84"/>
      <c r="AC932" s="84"/>
      <c r="AH932" s="84"/>
      <c r="AI932" s="84"/>
      <c r="AJ932" s="84"/>
      <c r="AK932" s="84"/>
    </row>
    <row r="933" spans="9:37" ht="12.75" customHeight="1" x14ac:dyDescent="0.25">
      <c r="I933" s="84"/>
      <c r="J933" s="84"/>
      <c r="K933" s="84"/>
      <c r="N933" s="84"/>
      <c r="R933" s="84"/>
      <c r="S933" s="84"/>
      <c r="W933" s="84"/>
      <c r="Y933" s="84"/>
      <c r="AB933" s="84"/>
      <c r="AC933" s="84"/>
      <c r="AH933" s="84"/>
      <c r="AI933" s="84"/>
      <c r="AJ933" s="84"/>
      <c r="AK933" s="84"/>
    </row>
    <row r="934" spans="9:37" ht="12.75" customHeight="1" x14ac:dyDescent="0.25">
      <c r="I934" s="84"/>
      <c r="J934" s="84"/>
      <c r="K934" s="84"/>
      <c r="N934" s="84"/>
      <c r="R934" s="84"/>
      <c r="S934" s="84"/>
      <c r="W934" s="84"/>
      <c r="Y934" s="84"/>
      <c r="AB934" s="84"/>
      <c r="AC934" s="84"/>
      <c r="AH934" s="84"/>
      <c r="AI934" s="84"/>
      <c r="AJ934" s="84"/>
      <c r="AK934" s="84"/>
    </row>
    <row r="935" spans="9:37" ht="12.75" customHeight="1" x14ac:dyDescent="0.25">
      <c r="I935" s="84"/>
      <c r="J935" s="84"/>
      <c r="K935" s="84"/>
      <c r="N935" s="84"/>
      <c r="R935" s="84"/>
      <c r="S935" s="84"/>
      <c r="W935" s="84"/>
      <c r="Y935" s="84"/>
      <c r="AB935" s="84"/>
      <c r="AC935" s="84"/>
      <c r="AH935" s="84"/>
      <c r="AI935" s="84"/>
      <c r="AJ935" s="84"/>
      <c r="AK935" s="84"/>
    </row>
    <row r="936" spans="9:37" ht="12.75" customHeight="1" x14ac:dyDescent="0.25">
      <c r="I936" s="84"/>
      <c r="J936" s="84"/>
      <c r="K936" s="84"/>
      <c r="N936" s="84"/>
      <c r="R936" s="84"/>
      <c r="S936" s="84"/>
      <c r="W936" s="84"/>
      <c r="Y936" s="84"/>
      <c r="AB936" s="84"/>
      <c r="AC936" s="84"/>
      <c r="AH936" s="84"/>
      <c r="AI936" s="84"/>
      <c r="AJ936" s="84"/>
      <c r="AK936" s="84"/>
    </row>
    <row r="937" spans="9:37" ht="12.75" customHeight="1" x14ac:dyDescent="0.25">
      <c r="I937" s="84"/>
      <c r="J937" s="84"/>
      <c r="K937" s="84"/>
      <c r="N937" s="84"/>
      <c r="R937" s="84"/>
      <c r="S937" s="84"/>
      <c r="W937" s="84"/>
      <c r="Y937" s="84"/>
      <c r="AB937" s="84"/>
      <c r="AC937" s="84"/>
      <c r="AH937" s="84"/>
      <c r="AI937" s="84"/>
      <c r="AJ937" s="84"/>
      <c r="AK937" s="84"/>
    </row>
    <row r="938" spans="9:37" ht="12.75" customHeight="1" x14ac:dyDescent="0.25">
      <c r="I938" s="84"/>
      <c r="J938" s="84"/>
      <c r="K938" s="84"/>
      <c r="N938" s="84"/>
      <c r="R938" s="84"/>
      <c r="S938" s="84"/>
      <c r="W938" s="84"/>
      <c r="Y938" s="84"/>
      <c r="AB938" s="84"/>
      <c r="AC938" s="84"/>
      <c r="AH938" s="84"/>
      <c r="AI938" s="84"/>
      <c r="AJ938" s="84"/>
      <c r="AK938" s="84"/>
    </row>
    <row r="939" spans="9:37" ht="12.75" customHeight="1" x14ac:dyDescent="0.25">
      <c r="I939" s="84"/>
      <c r="J939" s="84"/>
      <c r="K939" s="84"/>
      <c r="N939" s="84"/>
      <c r="R939" s="84"/>
      <c r="S939" s="84"/>
      <c r="W939" s="84"/>
      <c r="Y939" s="84"/>
      <c r="AB939" s="84"/>
      <c r="AC939" s="84"/>
      <c r="AH939" s="84"/>
      <c r="AI939" s="84"/>
      <c r="AJ939" s="84"/>
      <c r="AK939" s="84"/>
    </row>
    <row r="940" spans="9:37" ht="12.75" customHeight="1" x14ac:dyDescent="0.25">
      <c r="I940" s="84"/>
      <c r="J940" s="84"/>
      <c r="K940" s="84"/>
      <c r="N940" s="84"/>
      <c r="R940" s="84"/>
      <c r="S940" s="84"/>
      <c r="W940" s="84"/>
      <c r="Y940" s="84"/>
      <c r="AB940" s="84"/>
      <c r="AC940" s="84"/>
      <c r="AH940" s="84"/>
      <c r="AI940" s="84"/>
      <c r="AJ940" s="84"/>
      <c r="AK940" s="84"/>
    </row>
    <row r="941" spans="9:37" ht="12.75" customHeight="1" x14ac:dyDescent="0.25">
      <c r="I941" s="84"/>
      <c r="J941" s="84"/>
      <c r="K941" s="84"/>
      <c r="N941" s="84"/>
      <c r="R941" s="84"/>
      <c r="S941" s="84"/>
      <c r="W941" s="84"/>
      <c r="Y941" s="84"/>
      <c r="AB941" s="84"/>
      <c r="AC941" s="84"/>
      <c r="AH941" s="84"/>
      <c r="AI941" s="84"/>
      <c r="AJ941" s="84"/>
      <c r="AK941" s="84"/>
    </row>
    <row r="942" spans="9:37" ht="12.75" customHeight="1" x14ac:dyDescent="0.25">
      <c r="I942" s="84"/>
      <c r="J942" s="84"/>
      <c r="K942" s="84"/>
      <c r="N942" s="84"/>
      <c r="R942" s="84"/>
      <c r="S942" s="84"/>
      <c r="W942" s="84"/>
      <c r="Y942" s="84"/>
      <c r="AB942" s="84"/>
      <c r="AC942" s="84"/>
      <c r="AH942" s="84"/>
      <c r="AI942" s="84"/>
      <c r="AJ942" s="84"/>
      <c r="AK942" s="84"/>
    </row>
    <row r="943" spans="9:37" ht="12.75" customHeight="1" x14ac:dyDescent="0.25">
      <c r="I943" s="84"/>
      <c r="J943" s="84"/>
      <c r="K943" s="84"/>
      <c r="N943" s="84"/>
      <c r="R943" s="84"/>
      <c r="S943" s="84"/>
      <c r="W943" s="84"/>
      <c r="Y943" s="84"/>
      <c r="AB943" s="84"/>
      <c r="AC943" s="84"/>
      <c r="AH943" s="84"/>
      <c r="AI943" s="84"/>
      <c r="AJ943" s="84"/>
      <c r="AK943" s="84"/>
    </row>
    <row r="944" spans="9:37" ht="12.75" customHeight="1" x14ac:dyDescent="0.25">
      <c r="I944" s="84"/>
      <c r="J944" s="84"/>
      <c r="K944" s="84"/>
      <c r="N944" s="84"/>
      <c r="R944" s="84"/>
      <c r="S944" s="84"/>
      <c r="W944" s="84"/>
      <c r="Y944" s="84"/>
      <c r="AB944" s="84"/>
      <c r="AC944" s="84"/>
      <c r="AH944" s="84"/>
      <c r="AI944" s="84"/>
      <c r="AJ944" s="84"/>
      <c r="AK944" s="84"/>
    </row>
    <row r="945" spans="9:37" ht="12.75" customHeight="1" x14ac:dyDescent="0.25">
      <c r="I945" s="84"/>
      <c r="J945" s="84"/>
      <c r="K945" s="84"/>
      <c r="N945" s="84"/>
      <c r="R945" s="84"/>
      <c r="S945" s="84"/>
      <c r="W945" s="84"/>
      <c r="Y945" s="84"/>
      <c r="AB945" s="84"/>
      <c r="AC945" s="84"/>
      <c r="AH945" s="84"/>
      <c r="AI945" s="84"/>
      <c r="AJ945" s="84"/>
      <c r="AK945" s="84"/>
    </row>
    <row r="946" spans="9:37" ht="12.75" customHeight="1" x14ac:dyDescent="0.25">
      <c r="I946" s="84"/>
      <c r="J946" s="84"/>
      <c r="K946" s="84"/>
      <c r="N946" s="84"/>
      <c r="R946" s="84"/>
      <c r="S946" s="84"/>
      <c r="W946" s="84"/>
      <c r="Y946" s="84"/>
      <c r="AB946" s="84"/>
      <c r="AC946" s="84"/>
      <c r="AH946" s="84"/>
      <c r="AI946" s="84"/>
      <c r="AJ946" s="84"/>
      <c r="AK946" s="84"/>
    </row>
    <row r="947" spans="9:37" ht="12.75" customHeight="1" x14ac:dyDescent="0.25">
      <c r="I947" s="84"/>
      <c r="J947" s="84"/>
      <c r="K947" s="84"/>
      <c r="N947" s="84"/>
      <c r="R947" s="84"/>
      <c r="S947" s="84"/>
      <c r="W947" s="84"/>
      <c r="Y947" s="84"/>
      <c r="AB947" s="84"/>
      <c r="AC947" s="84"/>
      <c r="AH947" s="84"/>
      <c r="AI947" s="84"/>
      <c r="AJ947" s="84"/>
      <c r="AK947" s="84"/>
    </row>
    <row r="948" spans="9:37" ht="12.75" customHeight="1" x14ac:dyDescent="0.25">
      <c r="I948" s="84"/>
      <c r="J948" s="84"/>
      <c r="K948" s="84"/>
      <c r="N948" s="84"/>
      <c r="R948" s="84"/>
      <c r="S948" s="84"/>
      <c r="W948" s="84"/>
      <c r="Y948" s="84"/>
      <c r="AB948" s="84"/>
      <c r="AC948" s="84"/>
      <c r="AH948" s="84"/>
      <c r="AI948" s="84"/>
      <c r="AJ948" s="84"/>
      <c r="AK948" s="84"/>
    </row>
    <row r="949" spans="9:37" ht="12.75" customHeight="1" x14ac:dyDescent="0.25">
      <c r="I949" s="84"/>
      <c r="J949" s="84"/>
      <c r="K949" s="84"/>
      <c r="N949" s="84"/>
      <c r="R949" s="84"/>
      <c r="S949" s="84"/>
      <c r="W949" s="84"/>
      <c r="Y949" s="84"/>
      <c r="AB949" s="84"/>
      <c r="AC949" s="84"/>
      <c r="AH949" s="84"/>
      <c r="AI949" s="84"/>
      <c r="AJ949" s="84"/>
      <c r="AK949" s="84"/>
    </row>
    <row r="950" spans="9:37" ht="12.75" customHeight="1" x14ac:dyDescent="0.25">
      <c r="I950" s="84"/>
      <c r="J950" s="84"/>
      <c r="K950" s="84"/>
      <c r="N950" s="84"/>
      <c r="R950" s="84"/>
      <c r="S950" s="84"/>
      <c r="W950" s="84"/>
      <c r="Y950" s="84"/>
      <c r="AB950" s="84"/>
      <c r="AC950" s="84"/>
      <c r="AH950" s="84"/>
      <c r="AI950" s="84"/>
      <c r="AJ950" s="84"/>
      <c r="AK950" s="84"/>
    </row>
    <row r="951" spans="9:37" ht="12.75" customHeight="1" x14ac:dyDescent="0.25">
      <c r="I951" s="84"/>
      <c r="J951" s="84"/>
      <c r="K951" s="84"/>
      <c r="N951" s="84"/>
      <c r="R951" s="84"/>
      <c r="S951" s="84"/>
      <c r="W951" s="84"/>
      <c r="Y951" s="84"/>
      <c r="AB951" s="84"/>
      <c r="AC951" s="84"/>
      <c r="AH951" s="84"/>
      <c r="AI951" s="84"/>
      <c r="AJ951" s="84"/>
      <c r="AK951" s="84"/>
    </row>
    <row r="952" spans="9:37" ht="12.75" customHeight="1" x14ac:dyDescent="0.25">
      <c r="I952" s="84"/>
      <c r="J952" s="84"/>
      <c r="K952" s="84"/>
      <c r="N952" s="84"/>
      <c r="R952" s="84"/>
      <c r="S952" s="84"/>
      <c r="W952" s="84"/>
      <c r="Y952" s="84"/>
      <c r="AB952" s="84"/>
      <c r="AC952" s="84"/>
      <c r="AH952" s="84"/>
      <c r="AI952" s="84"/>
      <c r="AJ952" s="84"/>
      <c r="AK952" s="84"/>
    </row>
    <row r="953" spans="9:37" ht="12.75" customHeight="1" x14ac:dyDescent="0.25">
      <c r="I953" s="84"/>
      <c r="J953" s="84"/>
      <c r="K953" s="84"/>
      <c r="N953" s="84"/>
      <c r="R953" s="84"/>
      <c r="S953" s="84"/>
      <c r="W953" s="84"/>
      <c r="Y953" s="84"/>
      <c r="AB953" s="84"/>
      <c r="AC953" s="84"/>
      <c r="AH953" s="84"/>
      <c r="AI953" s="84"/>
      <c r="AJ953" s="84"/>
      <c r="AK953" s="84"/>
    </row>
    <row r="954" spans="9:37" ht="12.75" customHeight="1" x14ac:dyDescent="0.25">
      <c r="I954" s="84"/>
      <c r="J954" s="84"/>
      <c r="K954" s="84"/>
      <c r="N954" s="84"/>
      <c r="R954" s="84"/>
      <c r="S954" s="84"/>
      <c r="W954" s="84"/>
      <c r="Y954" s="84"/>
      <c r="AB954" s="84"/>
      <c r="AC954" s="84"/>
      <c r="AH954" s="84"/>
      <c r="AI954" s="84"/>
      <c r="AJ954" s="84"/>
      <c r="AK954" s="84"/>
    </row>
    <row r="955" spans="9:37" ht="12.75" customHeight="1" x14ac:dyDescent="0.25">
      <c r="I955" s="84"/>
      <c r="J955" s="84"/>
      <c r="K955" s="84"/>
      <c r="N955" s="84"/>
      <c r="R955" s="84"/>
      <c r="S955" s="84"/>
      <c r="W955" s="84"/>
      <c r="Y955" s="84"/>
      <c r="AB955" s="84"/>
      <c r="AC955" s="84"/>
      <c r="AH955" s="84"/>
      <c r="AI955" s="84"/>
      <c r="AJ955" s="84"/>
      <c r="AK955" s="84"/>
    </row>
    <row r="956" spans="9:37" ht="12.75" customHeight="1" x14ac:dyDescent="0.25">
      <c r="I956" s="84"/>
      <c r="J956" s="84"/>
      <c r="K956" s="84"/>
      <c r="N956" s="84"/>
      <c r="R956" s="84"/>
      <c r="S956" s="84"/>
      <c r="W956" s="84"/>
      <c r="Y956" s="84"/>
      <c r="AB956" s="84"/>
      <c r="AC956" s="84"/>
      <c r="AH956" s="84"/>
      <c r="AI956" s="84"/>
      <c r="AJ956" s="84"/>
      <c r="AK956" s="84"/>
    </row>
    <row r="957" spans="9:37" ht="12.75" customHeight="1" x14ac:dyDescent="0.25">
      <c r="I957" s="84"/>
      <c r="J957" s="84"/>
      <c r="K957" s="84"/>
      <c r="N957" s="84"/>
      <c r="R957" s="84"/>
      <c r="S957" s="84"/>
      <c r="W957" s="84"/>
      <c r="Y957" s="84"/>
      <c r="AB957" s="84"/>
      <c r="AC957" s="84"/>
      <c r="AH957" s="84"/>
      <c r="AI957" s="84"/>
      <c r="AJ957" s="84"/>
      <c r="AK957" s="84"/>
    </row>
    <row r="958" spans="9:37" ht="12.75" customHeight="1" x14ac:dyDescent="0.25">
      <c r="I958" s="84"/>
      <c r="J958" s="84"/>
      <c r="K958" s="84"/>
      <c r="N958" s="84"/>
      <c r="R958" s="84"/>
      <c r="S958" s="84"/>
      <c r="W958" s="84"/>
      <c r="Y958" s="84"/>
      <c r="AB958" s="84"/>
      <c r="AC958" s="84"/>
      <c r="AH958" s="84"/>
      <c r="AI958" s="84"/>
      <c r="AJ958" s="84"/>
      <c r="AK958" s="84"/>
    </row>
    <row r="959" spans="9:37" ht="12.75" customHeight="1" x14ac:dyDescent="0.25">
      <c r="I959" s="84"/>
      <c r="J959" s="84"/>
      <c r="K959" s="84"/>
      <c r="N959" s="84"/>
      <c r="R959" s="84"/>
      <c r="S959" s="84"/>
      <c r="W959" s="84"/>
      <c r="Y959" s="84"/>
      <c r="AB959" s="84"/>
      <c r="AC959" s="84"/>
      <c r="AH959" s="84"/>
      <c r="AI959" s="84"/>
      <c r="AJ959" s="84"/>
      <c r="AK959" s="84"/>
    </row>
    <row r="960" spans="9:37" ht="12.75" customHeight="1" x14ac:dyDescent="0.25">
      <c r="I960" s="84"/>
      <c r="J960" s="84"/>
      <c r="K960" s="84"/>
      <c r="N960" s="84"/>
      <c r="R960" s="84"/>
      <c r="S960" s="84"/>
      <c r="W960" s="84"/>
      <c r="Y960" s="84"/>
      <c r="AB960" s="84"/>
      <c r="AC960" s="84"/>
      <c r="AH960" s="84"/>
      <c r="AI960" s="84"/>
      <c r="AJ960" s="84"/>
      <c r="AK960" s="84"/>
    </row>
    <row r="961" spans="9:37" ht="12.75" customHeight="1" x14ac:dyDescent="0.25">
      <c r="I961" s="84"/>
      <c r="J961" s="84"/>
      <c r="K961" s="84"/>
      <c r="N961" s="84"/>
      <c r="R961" s="84"/>
      <c r="S961" s="84"/>
      <c r="W961" s="84"/>
      <c r="Y961" s="84"/>
      <c r="AB961" s="84"/>
      <c r="AC961" s="84"/>
      <c r="AH961" s="84"/>
      <c r="AI961" s="84"/>
      <c r="AJ961" s="84"/>
      <c r="AK961" s="84"/>
    </row>
    <row r="962" spans="9:37" ht="12.75" customHeight="1" x14ac:dyDescent="0.25">
      <c r="I962" s="84"/>
      <c r="J962" s="84"/>
      <c r="K962" s="84"/>
      <c r="N962" s="84"/>
      <c r="R962" s="84"/>
      <c r="S962" s="84"/>
      <c r="W962" s="84"/>
      <c r="Y962" s="84"/>
      <c r="AB962" s="84"/>
      <c r="AC962" s="84"/>
      <c r="AH962" s="84"/>
      <c r="AI962" s="84"/>
      <c r="AJ962" s="84"/>
      <c r="AK962" s="84"/>
    </row>
    <row r="963" spans="9:37" ht="12.75" customHeight="1" x14ac:dyDescent="0.25">
      <c r="I963" s="84"/>
      <c r="J963" s="84"/>
      <c r="K963" s="84"/>
      <c r="N963" s="84"/>
      <c r="R963" s="84"/>
      <c r="S963" s="84"/>
      <c r="W963" s="84"/>
      <c r="Y963" s="84"/>
      <c r="AB963" s="84"/>
      <c r="AC963" s="84"/>
      <c r="AH963" s="84"/>
      <c r="AI963" s="84"/>
      <c r="AJ963" s="84"/>
      <c r="AK963" s="84"/>
    </row>
    <row r="964" spans="9:37" ht="12.75" customHeight="1" x14ac:dyDescent="0.25">
      <c r="I964" s="84"/>
      <c r="J964" s="84"/>
      <c r="K964" s="84"/>
      <c r="N964" s="84"/>
      <c r="R964" s="84"/>
      <c r="S964" s="84"/>
      <c r="W964" s="84"/>
      <c r="Y964" s="84"/>
      <c r="AB964" s="84"/>
      <c r="AC964" s="84"/>
      <c r="AH964" s="84"/>
      <c r="AI964" s="84"/>
      <c r="AJ964" s="84"/>
      <c r="AK964" s="84"/>
    </row>
    <row r="965" spans="9:37" ht="12.75" customHeight="1" x14ac:dyDescent="0.25">
      <c r="I965" s="84"/>
      <c r="J965" s="84"/>
      <c r="K965" s="84"/>
      <c r="N965" s="84"/>
      <c r="R965" s="84"/>
      <c r="S965" s="84"/>
      <c r="W965" s="84"/>
      <c r="Y965" s="84"/>
      <c r="AB965" s="84"/>
      <c r="AC965" s="84"/>
      <c r="AH965" s="84"/>
      <c r="AI965" s="84"/>
      <c r="AJ965" s="84"/>
      <c r="AK965" s="84"/>
    </row>
    <row r="966" spans="9:37" ht="12.75" customHeight="1" x14ac:dyDescent="0.25">
      <c r="I966" s="84"/>
      <c r="J966" s="84"/>
      <c r="K966" s="84"/>
      <c r="N966" s="84"/>
      <c r="R966" s="84"/>
      <c r="S966" s="84"/>
      <c r="W966" s="84"/>
      <c r="Y966" s="84"/>
      <c r="AB966" s="84"/>
      <c r="AC966" s="84"/>
      <c r="AH966" s="84"/>
      <c r="AI966" s="84"/>
      <c r="AJ966" s="84"/>
      <c r="AK966" s="84"/>
    </row>
    <row r="967" spans="9:37" ht="12.75" customHeight="1" x14ac:dyDescent="0.25">
      <c r="I967" s="84"/>
      <c r="J967" s="84"/>
      <c r="K967" s="84"/>
      <c r="N967" s="84"/>
      <c r="R967" s="84"/>
      <c r="S967" s="84"/>
      <c r="W967" s="84"/>
      <c r="Y967" s="84"/>
      <c r="AB967" s="84"/>
      <c r="AC967" s="84"/>
      <c r="AH967" s="84"/>
      <c r="AI967" s="84"/>
      <c r="AJ967" s="84"/>
      <c r="AK967" s="84"/>
    </row>
    <row r="968" spans="9:37" ht="12.75" customHeight="1" x14ac:dyDescent="0.25">
      <c r="I968" s="84"/>
      <c r="J968" s="84"/>
      <c r="K968" s="84"/>
      <c r="N968" s="84"/>
      <c r="R968" s="84"/>
      <c r="S968" s="84"/>
      <c r="W968" s="84"/>
      <c r="Y968" s="84"/>
      <c r="AB968" s="84"/>
      <c r="AC968" s="84"/>
      <c r="AH968" s="84"/>
      <c r="AI968" s="84"/>
      <c r="AJ968" s="84"/>
      <c r="AK968" s="84"/>
    </row>
    <row r="969" spans="9:37" ht="12.75" customHeight="1" x14ac:dyDescent="0.25">
      <c r="I969" s="84"/>
      <c r="J969" s="84"/>
      <c r="K969" s="84"/>
      <c r="N969" s="84"/>
      <c r="R969" s="84"/>
      <c r="S969" s="84"/>
      <c r="W969" s="84"/>
      <c r="Y969" s="84"/>
      <c r="AB969" s="84"/>
      <c r="AC969" s="84"/>
      <c r="AH969" s="84"/>
      <c r="AI969" s="84"/>
      <c r="AJ969" s="84"/>
      <c r="AK969" s="84"/>
    </row>
    <row r="970" spans="9:37" ht="12.75" customHeight="1" x14ac:dyDescent="0.25">
      <c r="I970" s="84"/>
      <c r="J970" s="84"/>
      <c r="K970" s="84"/>
      <c r="N970" s="84"/>
      <c r="R970" s="84"/>
      <c r="S970" s="84"/>
      <c r="W970" s="84"/>
      <c r="Y970" s="84"/>
      <c r="AB970" s="84"/>
      <c r="AC970" s="84"/>
      <c r="AH970" s="84"/>
      <c r="AI970" s="84"/>
      <c r="AJ970" s="84"/>
      <c r="AK970" s="84"/>
    </row>
    <row r="971" spans="9:37" ht="12.75" customHeight="1" x14ac:dyDescent="0.25">
      <c r="I971" s="84"/>
      <c r="J971" s="84"/>
      <c r="K971" s="84"/>
      <c r="N971" s="84"/>
      <c r="R971" s="84"/>
      <c r="S971" s="84"/>
      <c r="W971" s="84"/>
      <c r="Y971" s="84"/>
      <c r="AB971" s="84"/>
      <c r="AC971" s="84"/>
      <c r="AH971" s="84"/>
      <c r="AI971" s="84"/>
      <c r="AJ971" s="84"/>
      <c r="AK971" s="84"/>
    </row>
    <row r="972" spans="9:37" ht="12.75" customHeight="1" x14ac:dyDescent="0.25">
      <c r="I972" s="84"/>
      <c r="J972" s="84"/>
      <c r="K972" s="84"/>
      <c r="N972" s="84"/>
      <c r="R972" s="84"/>
      <c r="S972" s="84"/>
      <c r="W972" s="84"/>
      <c r="Y972" s="84"/>
      <c r="AB972" s="84"/>
      <c r="AC972" s="84"/>
      <c r="AH972" s="84"/>
      <c r="AI972" s="84"/>
      <c r="AJ972" s="84"/>
      <c r="AK972" s="84"/>
    </row>
    <row r="973" spans="9:37" ht="12.75" customHeight="1" x14ac:dyDescent="0.25">
      <c r="I973" s="84"/>
      <c r="J973" s="84"/>
      <c r="K973" s="84"/>
      <c r="N973" s="84"/>
      <c r="R973" s="84"/>
      <c r="S973" s="84"/>
      <c r="W973" s="84"/>
      <c r="Y973" s="84"/>
      <c r="AB973" s="84"/>
      <c r="AC973" s="84"/>
      <c r="AH973" s="84"/>
      <c r="AI973" s="84"/>
      <c r="AJ973" s="84"/>
      <c r="AK973" s="84"/>
    </row>
    <row r="974" spans="9:37" ht="12.75" customHeight="1" x14ac:dyDescent="0.25">
      <c r="I974" s="84"/>
      <c r="J974" s="84"/>
      <c r="K974" s="84"/>
      <c r="N974" s="84"/>
      <c r="R974" s="84"/>
      <c r="S974" s="84"/>
      <c r="W974" s="84"/>
      <c r="Y974" s="84"/>
      <c r="AB974" s="84"/>
      <c r="AC974" s="84"/>
      <c r="AH974" s="84"/>
      <c r="AI974" s="84"/>
      <c r="AJ974" s="84"/>
      <c r="AK974" s="84"/>
    </row>
    <row r="975" spans="9:37" ht="12.75" customHeight="1" x14ac:dyDescent="0.25">
      <c r="I975" s="84"/>
      <c r="J975" s="84"/>
      <c r="K975" s="84"/>
      <c r="N975" s="84"/>
      <c r="R975" s="84"/>
      <c r="S975" s="84"/>
      <c r="W975" s="84"/>
      <c r="Y975" s="84"/>
      <c r="AB975" s="84"/>
      <c r="AC975" s="84"/>
      <c r="AH975" s="84"/>
      <c r="AI975" s="84"/>
      <c r="AJ975" s="84"/>
      <c r="AK975" s="84"/>
    </row>
    <row r="976" spans="9:37" ht="12.75" customHeight="1" x14ac:dyDescent="0.25">
      <c r="I976" s="84"/>
      <c r="J976" s="84"/>
      <c r="K976" s="84"/>
      <c r="N976" s="84"/>
      <c r="R976" s="84"/>
      <c r="S976" s="84"/>
      <c r="W976" s="84"/>
      <c r="Y976" s="84"/>
      <c r="AB976" s="84"/>
      <c r="AC976" s="84"/>
      <c r="AH976" s="84"/>
      <c r="AI976" s="84"/>
      <c r="AJ976" s="84"/>
      <c r="AK976" s="84"/>
    </row>
    <row r="977" spans="9:37" ht="12.75" customHeight="1" x14ac:dyDescent="0.25">
      <c r="I977" s="84"/>
      <c r="J977" s="84"/>
      <c r="K977" s="84"/>
      <c r="N977" s="84"/>
      <c r="R977" s="84"/>
      <c r="S977" s="84"/>
      <c r="W977" s="84"/>
      <c r="Y977" s="84"/>
      <c r="AB977" s="84"/>
      <c r="AC977" s="84"/>
      <c r="AH977" s="84"/>
      <c r="AI977" s="84"/>
      <c r="AJ977" s="84"/>
      <c r="AK977" s="84"/>
    </row>
    <row r="978" spans="9:37" ht="12.75" customHeight="1" x14ac:dyDescent="0.25">
      <c r="I978" s="84"/>
      <c r="J978" s="84"/>
      <c r="K978" s="84"/>
      <c r="N978" s="84"/>
      <c r="R978" s="84"/>
      <c r="S978" s="84"/>
      <c r="W978" s="84"/>
      <c r="Y978" s="84"/>
      <c r="AB978" s="84"/>
      <c r="AC978" s="84"/>
      <c r="AH978" s="84"/>
      <c r="AI978" s="84"/>
      <c r="AJ978" s="84"/>
      <c r="AK978" s="84"/>
    </row>
    <row r="979" spans="9:37" ht="12.75" customHeight="1" x14ac:dyDescent="0.25">
      <c r="I979" s="84"/>
      <c r="J979" s="84"/>
      <c r="K979" s="84"/>
      <c r="N979" s="84"/>
      <c r="R979" s="84"/>
      <c r="S979" s="84"/>
      <c r="W979" s="84"/>
      <c r="Y979" s="84"/>
      <c r="AB979" s="84"/>
      <c r="AC979" s="84"/>
      <c r="AH979" s="84"/>
      <c r="AI979" s="84"/>
      <c r="AJ979" s="84"/>
      <c r="AK979" s="84"/>
    </row>
    <row r="980" spans="9:37" ht="12.75" customHeight="1" x14ac:dyDescent="0.25">
      <c r="I980" s="84"/>
      <c r="J980" s="84"/>
      <c r="K980" s="84"/>
      <c r="N980" s="84"/>
      <c r="R980" s="84"/>
      <c r="S980" s="84"/>
      <c r="W980" s="84"/>
      <c r="Y980" s="84"/>
      <c r="AB980" s="84"/>
      <c r="AC980" s="84"/>
      <c r="AH980" s="84"/>
      <c r="AI980" s="84"/>
      <c r="AJ980" s="84"/>
      <c r="AK980" s="84"/>
    </row>
    <row r="981" spans="9:37" ht="12.75" customHeight="1" x14ac:dyDescent="0.25">
      <c r="I981" s="84"/>
      <c r="J981" s="84"/>
      <c r="K981" s="84"/>
      <c r="N981" s="84"/>
      <c r="R981" s="84"/>
      <c r="S981" s="84"/>
      <c r="W981" s="84"/>
      <c r="Y981" s="84"/>
      <c r="AB981" s="84"/>
      <c r="AC981" s="84"/>
      <c r="AH981" s="84"/>
      <c r="AI981" s="84"/>
      <c r="AJ981" s="84"/>
      <c r="AK981" s="84"/>
    </row>
    <row r="982" spans="9:37" ht="12.75" customHeight="1" x14ac:dyDescent="0.25">
      <c r="I982" s="84"/>
      <c r="J982" s="84"/>
      <c r="K982" s="84"/>
      <c r="N982" s="84"/>
      <c r="R982" s="84"/>
      <c r="S982" s="84"/>
      <c r="W982" s="84"/>
      <c r="Y982" s="84"/>
      <c r="AB982" s="84"/>
      <c r="AC982" s="84"/>
      <c r="AH982" s="84"/>
      <c r="AI982" s="84"/>
      <c r="AJ982" s="84"/>
      <c r="AK982" s="84"/>
    </row>
    <row r="983" spans="9:37" ht="12.75" customHeight="1" x14ac:dyDescent="0.25">
      <c r="I983" s="84"/>
      <c r="J983" s="84"/>
      <c r="K983" s="84"/>
      <c r="N983" s="84"/>
      <c r="R983" s="84"/>
      <c r="S983" s="84"/>
      <c r="W983" s="84"/>
      <c r="Y983" s="84"/>
      <c r="AB983" s="84"/>
      <c r="AC983" s="84"/>
      <c r="AH983" s="84"/>
      <c r="AI983" s="84"/>
      <c r="AJ983" s="84"/>
      <c r="AK983" s="84"/>
    </row>
    <row r="984" spans="9:37" ht="12.75" customHeight="1" x14ac:dyDescent="0.25">
      <c r="I984" s="84"/>
      <c r="J984" s="84"/>
      <c r="K984" s="84"/>
      <c r="N984" s="84"/>
      <c r="R984" s="84"/>
      <c r="S984" s="84"/>
      <c r="W984" s="84"/>
      <c r="Y984" s="84"/>
      <c r="AB984" s="84"/>
      <c r="AC984" s="84"/>
      <c r="AH984" s="84"/>
      <c r="AI984" s="84"/>
      <c r="AJ984" s="84"/>
      <c r="AK984" s="84"/>
    </row>
    <row r="985" spans="9:37" ht="12.75" customHeight="1" x14ac:dyDescent="0.25">
      <c r="I985" s="84"/>
      <c r="J985" s="84"/>
      <c r="K985" s="84"/>
      <c r="N985" s="84"/>
      <c r="R985" s="84"/>
      <c r="S985" s="84"/>
      <c r="W985" s="84"/>
      <c r="Y985" s="84"/>
      <c r="AB985" s="84"/>
      <c r="AC985" s="84"/>
      <c r="AH985" s="84"/>
      <c r="AI985" s="84"/>
      <c r="AJ985" s="84"/>
      <c r="AK985" s="84"/>
    </row>
    <row r="986" spans="9:37" ht="12.75" customHeight="1" x14ac:dyDescent="0.25">
      <c r="I986" s="84"/>
      <c r="J986" s="84"/>
      <c r="K986" s="84"/>
      <c r="N986" s="84"/>
      <c r="R986" s="84"/>
      <c r="S986" s="84"/>
      <c r="W986" s="84"/>
      <c r="Y986" s="84"/>
      <c r="AB986" s="84"/>
      <c r="AC986" s="84"/>
      <c r="AH986" s="84"/>
      <c r="AI986" s="84"/>
      <c r="AJ986" s="84"/>
      <c r="AK986" s="84"/>
    </row>
    <row r="987" spans="9:37" ht="12.75" customHeight="1" x14ac:dyDescent="0.25">
      <c r="I987" s="84"/>
      <c r="J987" s="84"/>
      <c r="K987" s="84"/>
      <c r="N987" s="84"/>
      <c r="R987" s="84"/>
      <c r="S987" s="84"/>
      <c r="W987" s="84"/>
      <c r="Y987" s="84"/>
      <c r="AB987" s="84"/>
      <c r="AC987" s="84"/>
      <c r="AH987" s="84"/>
      <c r="AI987" s="84"/>
      <c r="AJ987" s="84"/>
      <c r="AK987" s="84"/>
    </row>
    <row r="988" spans="9:37" ht="12.75" customHeight="1" x14ac:dyDescent="0.25">
      <c r="I988" s="84"/>
      <c r="J988" s="84"/>
      <c r="K988" s="84"/>
      <c r="N988" s="84"/>
      <c r="R988" s="84"/>
      <c r="S988" s="84"/>
      <c r="W988" s="84"/>
      <c r="Y988" s="84"/>
      <c r="AB988" s="84"/>
      <c r="AC988" s="84"/>
      <c r="AH988" s="84"/>
      <c r="AI988" s="84"/>
      <c r="AJ988" s="84"/>
      <c r="AK988" s="84"/>
    </row>
    <row r="989" spans="9:37" ht="12.75" customHeight="1" x14ac:dyDescent="0.25">
      <c r="I989" s="84"/>
      <c r="J989" s="84"/>
      <c r="K989" s="84"/>
      <c r="N989" s="84"/>
      <c r="R989" s="84"/>
      <c r="S989" s="84"/>
      <c r="W989" s="84"/>
      <c r="Y989" s="84"/>
      <c r="AB989" s="84"/>
      <c r="AC989" s="84"/>
      <c r="AH989" s="84"/>
      <c r="AI989" s="84"/>
      <c r="AJ989" s="84"/>
      <c r="AK989" s="84"/>
    </row>
    <row r="990" spans="9:37" ht="12.75" customHeight="1" x14ac:dyDescent="0.25">
      <c r="I990" s="84"/>
      <c r="J990" s="84"/>
      <c r="K990" s="84"/>
      <c r="N990" s="84"/>
      <c r="R990" s="84"/>
      <c r="S990" s="84"/>
      <c r="W990" s="84"/>
      <c r="Y990" s="84"/>
      <c r="AB990" s="84"/>
      <c r="AC990" s="84"/>
      <c r="AH990" s="84"/>
      <c r="AI990" s="84"/>
      <c r="AJ990" s="84"/>
      <c r="AK990" s="84"/>
    </row>
    <row r="991" spans="9:37" ht="12.75" customHeight="1" x14ac:dyDescent="0.25">
      <c r="I991" s="84"/>
      <c r="J991" s="84"/>
      <c r="K991" s="84"/>
      <c r="N991" s="84"/>
      <c r="R991" s="84"/>
      <c r="S991" s="84"/>
      <c r="W991" s="84"/>
      <c r="Y991" s="84"/>
      <c r="AB991" s="84"/>
      <c r="AC991" s="84"/>
      <c r="AH991" s="84"/>
      <c r="AI991" s="84"/>
      <c r="AJ991" s="84"/>
      <c r="AK991" s="84"/>
    </row>
    <row r="992" spans="9:37" ht="12.75" customHeight="1" x14ac:dyDescent="0.25">
      <c r="I992" s="84"/>
      <c r="J992" s="84"/>
      <c r="K992" s="84"/>
      <c r="N992" s="84"/>
      <c r="R992" s="84"/>
      <c r="S992" s="84"/>
      <c r="W992" s="84"/>
      <c r="Y992" s="84"/>
      <c r="AB992" s="84"/>
      <c r="AC992" s="84"/>
      <c r="AH992" s="84"/>
      <c r="AI992" s="84"/>
      <c r="AJ992" s="84"/>
      <c r="AK992" s="84"/>
    </row>
    <row r="993" spans="9:37" ht="12.75" customHeight="1" x14ac:dyDescent="0.25">
      <c r="I993" s="84"/>
      <c r="J993" s="84"/>
      <c r="K993" s="84"/>
      <c r="N993" s="84"/>
      <c r="R993" s="84"/>
      <c r="S993" s="84"/>
      <c r="W993" s="84"/>
      <c r="Y993" s="84"/>
      <c r="AB993" s="84"/>
      <c r="AC993" s="84"/>
      <c r="AH993" s="84"/>
      <c r="AI993" s="84"/>
      <c r="AJ993" s="84"/>
      <c r="AK993" s="84"/>
    </row>
    <row r="994" spans="9:37" ht="12.75" customHeight="1" x14ac:dyDescent="0.25">
      <c r="I994" s="84"/>
      <c r="J994" s="84"/>
      <c r="K994" s="84"/>
      <c r="N994" s="84"/>
      <c r="R994" s="84"/>
      <c r="S994" s="84"/>
      <c r="W994" s="84"/>
      <c r="Y994" s="84"/>
      <c r="AB994" s="84"/>
      <c r="AC994" s="84"/>
      <c r="AH994" s="84"/>
      <c r="AI994" s="84"/>
      <c r="AJ994" s="84"/>
      <c r="AK994" s="84"/>
    </row>
    <row r="995" spans="9:37" ht="12.75" customHeight="1" x14ac:dyDescent="0.25">
      <c r="I995" s="84"/>
      <c r="J995" s="84"/>
      <c r="K995" s="84"/>
      <c r="N995" s="84"/>
      <c r="R995" s="84"/>
      <c r="S995" s="84"/>
      <c r="W995" s="84"/>
      <c r="Y995" s="84"/>
      <c r="AB995" s="84"/>
      <c r="AC995" s="84"/>
      <c r="AH995" s="84"/>
      <c r="AI995" s="84"/>
      <c r="AJ995" s="84"/>
      <c r="AK995" s="84"/>
    </row>
    <row r="996" spans="9:37" ht="12.75" customHeight="1" x14ac:dyDescent="0.25">
      <c r="I996" s="84"/>
      <c r="J996" s="84"/>
      <c r="K996" s="84"/>
      <c r="N996" s="84"/>
      <c r="R996" s="84"/>
      <c r="S996" s="84"/>
      <c r="W996" s="84"/>
      <c r="Y996" s="84"/>
      <c r="AB996" s="84"/>
      <c r="AC996" s="84"/>
      <c r="AH996" s="84"/>
      <c r="AI996" s="84"/>
      <c r="AJ996" s="84"/>
      <c r="AK996" s="84"/>
    </row>
    <row r="997" spans="9:37" ht="12.75" customHeight="1" x14ac:dyDescent="0.25">
      <c r="I997" s="84"/>
      <c r="J997" s="84"/>
      <c r="K997" s="84"/>
      <c r="N997" s="84"/>
      <c r="R997" s="84"/>
      <c r="S997" s="84"/>
      <c r="W997" s="84"/>
      <c r="Y997" s="84"/>
      <c r="AB997" s="84"/>
      <c r="AC997" s="84"/>
      <c r="AH997" s="84"/>
      <c r="AI997" s="84"/>
      <c r="AJ997" s="84"/>
      <c r="AK997" s="84"/>
    </row>
    <row r="998" spans="9:37" ht="12.75" customHeight="1" x14ac:dyDescent="0.25">
      <c r="I998" s="84"/>
      <c r="J998" s="84"/>
      <c r="K998" s="84"/>
      <c r="N998" s="84"/>
      <c r="R998" s="84"/>
      <c r="S998" s="84"/>
      <c r="W998" s="84"/>
      <c r="Y998" s="84"/>
      <c r="AB998" s="84"/>
      <c r="AC998" s="84"/>
      <c r="AH998" s="84"/>
      <c r="AI998" s="84"/>
      <c r="AJ998" s="84"/>
      <c r="AK998" s="84"/>
    </row>
    <row r="999" spans="9:37" ht="12.75" customHeight="1" x14ac:dyDescent="0.25">
      <c r="I999" s="84"/>
      <c r="J999" s="84"/>
      <c r="K999" s="84"/>
      <c r="N999" s="84"/>
      <c r="R999" s="84"/>
      <c r="S999" s="84"/>
      <c r="W999" s="84"/>
      <c r="Y999" s="84"/>
      <c r="AB999" s="84"/>
      <c r="AC999" s="84"/>
      <c r="AH999" s="84"/>
      <c r="AI999" s="84"/>
      <c r="AJ999" s="84"/>
      <c r="AK999" s="84"/>
    </row>
    <row r="1000" spans="9:37" ht="12.75" customHeight="1" x14ac:dyDescent="0.25">
      <c r="I1000" s="84"/>
      <c r="J1000" s="84"/>
      <c r="K1000" s="84"/>
      <c r="N1000" s="84"/>
      <c r="R1000" s="84"/>
      <c r="S1000" s="84"/>
      <c r="W1000" s="84"/>
      <c r="Y1000" s="84"/>
      <c r="AB1000" s="84"/>
      <c r="AC1000" s="84"/>
      <c r="AH1000" s="84"/>
      <c r="AI1000" s="84"/>
      <c r="AJ1000" s="84"/>
      <c r="AK1000" s="84"/>
    </row>
  </sheetData>
  <pageMargins left="0.511811024" right="0.511811024"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B1000"/>
  <sheetViews>
    <sheetView workbookViewId="0"/>
  </sheetViews>
  <sheetFormatPr defaultColWidth="12.6640625" defaultRowHeight="15" customHeight="1" x14ac:dyDescent="0.25"/>
  <cols>
    <col min="1" max="1" width="33.21875" customWidth="1"/>
    <col min="2" max="54" width="8.6640625" customWidth="1"/>
  </cols>
  <sheetData>
    <row r="1" spans="1:54" ht="12.75" customHeight="1" x14ac:dyDescent="0.25">
      <c r="B1" s="43" t="s">
        <v>207</v>
      </c>
      <c r="C1" s="43" t="s">
        <v>208</v>
      </c>
      <c r="D1" s="43" t="s">
        <v>209</v>
      </c>
      <c r="E1" s="43" t="s">
        <v>210</v>
      </c>
      <c r="F1" s="43" t="s">
        <v>211</v>
      </c>
      <c r="G1" s="43" t="s">
        <v>212</v>
      </c>
      <c r="H1" s="43" t="s">
        <v>213</v>
      </c>
      <c r="I1" s="43" t="s">
        <v>214</v>
      </c>
      <c r="J1" s="43" t="s">
        <v>215</v>
      </c>
      <c r="K1" s="43" t="s">
        <v>216</v>
      </c>
      <c r="L1" s="43" t="s">
        <v>217</v>
      </c>
      <c r="M1" s="43" t="s">
        <v>218</v>
      </c>
      <c r="N1" s="43" t="s">
        <v>129</v>
      </c>
      <c r="O1" s="43" t="s">
        <v>219</v>
      </c>
      <c r="P1" s="43" t="s">
        <v>220</v>
      </c>
      <c r="Q1" s="43" t="s">
        <v>221</v>
      </c>
      <c r="R1" s="43" t="s">
        <v>222</v>
      </c>
      <c r="S1" s="43" t="s">
        <v>223</v>
      </c>
      <c r="T1" s="43" t="s">
        <v>224</v>
      </c>
      <c r="U1" s="43" t="s">
        <v>225</v>
      </c>
      <c r="V1" s="43" t="s">
        <v>226</v>
      </c>
      <c r="W1" s="43" t="s">
        <v>227</v>
      </c>
      <c r="X1" s="43" t="s">
        <v>228</v>
      </c>
      <c r="Y1" s="43" t="s">
        <v>229</v>
      </c>
      <c r="Z1" s="43" t="s">
        <v>230</v>
      </c>
      <c r="AA1" s="43" t="s">
        <v>231</v>
      </c>
      <c r="AB1" s="43" t="s">
        <v>232</v>
      </c>
      <c r="AC1" s="43" t="s">
        <v>233</v>
      </c>
      <c r="AD1" s="43" t="s">
        <v>234</v>
      </c>
      <c r="AE1" s="43" t="s">
        <v>235</v>
      </c>
      <c r="AF1" s="43" t="s">
        <v>236</v>
      </c>
      <c r="AG1" s="43" t="s">
        <v>237</v>
      </c>
      <c r="AH1" s="43" t="s">
        <v>238</v>
      </c>
      <c r="AI1" s="43" t="s">
        <v>239</v>
      </c>
      <c r="AJ1" s="43" t="s">
        <v>240</v>
      </c>
      <c r="AK1" s="43" t="s">
        <v>241</v>
      </c>
      <c r="AL1" s="44" t="s">
        <v>242</v>
      </c>
      <c r="AM1" s="45" t="s">
        <v>243</v>
      </c>
      <c r="AN1" s="45" t="s">
        <v>244</v>
      </c>
      <c r="AO1" s="45" t="s">
        <v>245</v>
      </c>
      <c r="AP1" s="46" t="s">
        <v>246</v>
      </c>
      <c r="AQ1" s="47" t="s">
        <v>247</v>
      </c>
      <c r="AR1" s="47" t="s">
        <v>248</v>
      </c>
      <c r="AS1" s="47" t="s">
        <v>249</v>
      </c>
      <c r="AT1" s="48" t="s">
        <v>250</v>
      </c>
      <c r="AU1" s="48" t="s">
        <v>251</v>
      </c>
      <c r="AV1" s="48" t="s">
        <v>252</v>
      </c>
      <c r="AW1" s="48" t="s">
        <v>253</v>
      </c>
      <c r="AX1" s="45" t="s">
        <v>254</v>
      </c>
      <c r="AY1" s="46" t="s">
        <v>255</v>
      </c>
      <c r="AZ1" s="48" t="s">
        <v>256</v>
      </c>
      <c r="BA1" s="49" t="s">
        <v>257</v>
      </c>
      <c r="BB1" s="50" t="s">
        <v>258</v>
      </c>
    </row>
    <row r="2" spans="1:54" ht="12.75" customHeight="1" x14ac:dyDescent="0.25">
      <c r="A2" s="4" t="s">
        <v>63</v>
      </c>
      <c r="B2" s="5">
        <v>2.1881838074398248</v>
      </c>
      <c r="C2" s="6">
        <v>9.3645484949832769E-2</v>
      </c>
      <c r="D2" s="5">
        <v>0</v>
      </c>
      <c r="E2" s="5">
        <v>5</v>
      </c>
      <c r="F2" s="6">
        <v>0.99602221665659896</v>
      </c>
      <c r="G2" s="6">
        <v>0.99435744066473175</v>
      </c>
      <c r="H2" s="6">
        <v>0.99742180709224038</v>
      </c>
      <c r="I2" s="6">
        <v>2.7137697140200506E-2</v>
      </c>
      <c r="J2" s="6">
        <v>0.98633648987092282</v>
      </c>
      <c r="K2" s="6">
        <v>1.9774839485179864E-2</v>
      </c>
      <c r="L2" s="5">
        <v>6.6840377512952731</v>
      </c>
      <c r="M2" s="5">
        <v>8.2639012197832464</v>
      </c>
      <c r="N2" s="6">
        <v>0.55657142857142849</v>
      </c>
      <c r="O2" s="7">
        <v>5.94</v>
      </c>
      <c r="P2" s="7">
        <v>5.0599999999999996</v>
      </c>
      <c r="Q2" s="5">
        <v>6.0166666666666657</v>
      </c>
      <c r="R2" s="6">
        <v>0.99588085256090764</v>
      </c>
      <c r="S2" s="6">
        <v>0.79679849892990118</v>
      </c>
      <c r="T2" s="5">
        <v>130.64255604804396</v>
      </c>
      <c r="U2" s="5">
        <v>109.98280299858585</v>
      </c>
      <c r="V2" s="5">
        <v>3.6458387734337849</v>
      </c>
      <c r="W2" s="6">
        <v>0.1003</v>
      </c>
      <c r="X2" s="8">
        <v>-4.4590315721962683E-3</v>
      </c>
      <c r="Y2" s="6">
        <v>0.6219122258214238</v>
      </c>
      <c r="Z2" s="5">
        <v>1.2152795911445951</v>
      </c>
      <c r="AA2" s="5">
        <v>27.6043165467626</v>
      </c>
      <c r="AB2" s="8">
        <v>0.23034684174616438</v>
      </c>
      <c r="AC2" s="6">
        <v>4.4147157190635451E-2</v>
      </c>
      <c r="AD2" s="5">
        <v>1.8229193867168925</v>
      </c>
      <c r="AE2" s="5">
        <v>89.054441221920882</v>
      </c>
      <c r="AF2" s="5">
        <v>159.20162643994195</v>
      </c>
      <c r="AG2" s="5">
        <v>0.60763979557229753</v>
      </c>
      <c r="AH2" s="6">
        <v>6.0140427002992117E-3</v>
      </c>
      <c r="AI2" s="6">
        <v>0.58127699072580963</v>
      </c>
      <c r="AJ2" s="6">
        <v>0.18819188191881919</v>
      </c>
      <c r="AK2" s="6">
        <v>0.66478873239436598</v>
      </c>
      <c r="AL2" s="5">
        <v>80.62</v>
      </c>
      <c r="AM2" s="5">
        <v>98.86</v>
      </c>
      <c r="AN2" s="5">
        <v>96.71</v>
      </c>
      <c r="AO2" s="5">
        <v>82.92</v>
      </c>
      <c r="AP2" s="5">
        <v>72.23</v>
      </c>
      <c r="AQ2" s="5">
        <v>89.06</v>
      </c>
      <c r="AR2" s="5">
        <v>86.49</v>
      </c>
      <c r="AS2" s="5">
        <v>77.150000000000006</v>
      </c>
      <c r="AT2" s="5">
        <v>70.09</v>
      </c>
      <c r="AU2" s="5">
        <v>96.02</v>
      </c>
      <c r="AV2" s="5">
        <v>98.62</v>
      </c>
      <c r="AW2" s="5">
        <v>81.59</v>
      </c>
      <c r="AX2" s="5">
        <v>89.78</v>
      </c>
      <c r="AY2" s="5">
        <v>81.23</v>
      </c>
      <c r="AZ2" s="5">
        <v>86.58</v>
      </c>
      <c r="BA2" s="5">
        <v>85.86</v>
      </c>
      <c r="BB2" s="51">
        <f t="shared" ref="BB2:BB33" si="0">VLOOKUP(A2,$A$37:$B$68,2,0)</f>
        <v>8244</v>
      </c>
    </row>
    <row r="3" spans="1:54" ht="12.75" customHeight="1" x14ac:dyDescent="0.25">
      <c r="A3" s="4" t="s">
        <v>60</v>
      </c>
      <c r="B3" s="5">
        <v>1.0802052389954091</v>
      </c>
      <c r="C3" s="6">
        <v>8.1055607917059375E-2</v>
      </c>
      <c r="D3" s="5">
        <v>30.567018187375819</v>
      </c>
      <c r="E3" s="5">
        <v>2.2599999999999998</v>
      </c>
      <c r="F3" s="6">
        <v>0.998732708786227</v>
      </c>
      <c r="G3" s="6">
        <v>0.99070003216970004</v>
      </c>
      <c r="H3" s="6">
        <v>0.99331260174886182</v>
      </c>
      <c r="I3" s="6">
        <v>1.6693850139115417E-2</v>
      </c>
      <c r="J3" s="6">
        <v>0.98657849047033808</v>
      </c>
      <c r="K3" s="6">
        <v>7.7175269097977776E-3</v>
      </c>
      <c r="L3" s="5">
        <v>11.24279519014587</v>
      </c>
      <c r="M3" s="5">
        <v>9.6646398653068761</v>
      </c>
      <c r="N3" s="6">
        <v>0.54314720812182737</v>
      </c>
      <c r="O3" s="7">
        <v>6.27</v>
      </c>
      <c r="P3" s="7">
        <v>5.5</v>
      </c>
      <c r="Q3" s="5">
        <v>14.179999999999998</v>
      </c>
      <c r="R3" s="6">
        <v>0.99757255732536432</v>
      </c>
      <c r="S3" s="6">
        <v>0.75547625264745988</v>
      </c>
      <c r="T3" s="5">
        <v>137.82834103475122</v>
      </c>
      <c r="U3" s="5">
        <v>117.84114958560299</v>
      </c>
      <c r="V3" s="5">
        <v>7.0787969715733245</v>
      </c>
      <c r="W3" s="6">
        <v>9.7199999999999995E-2</v>
      </c>
      <c r="X3" s="8">
        <v>-1.6896454523874745E-3</v>
      </c>
      <c r="Y3" s="6">
        <v>0.73277947503740049</v>
      </c>
      <c r="Z3" s="5">
        <v>2.4983989311435266</v>
      </c>
      <c r="AA3" s="5">
        <v>25.650485436893199</v>
      </c>
      <c r="AB3" s="8">
        <v>0.2272068482197547</v>
      </c>
      <c r="AC3" s="6">
        <v>4.71253534401508E-2</v>
      </c>
      <c r="AD3" s="5">
        <v>2.0819991092862722</v>
      </c>
      <c r="AE3" s="5">
        <v>58.814820663374192</v>
      </c>
      <c r="AF3" s="5">
        <v>214.44590825648604</v>
      </c>
      <c r="AG3" s="5">
        <v>1.665599287429018</v>
      </c>
      <c r="AH3" s="6">
        <v>4.9430815629314768E-3</v>
      </c>
      <c r="AI3" s="6">
        <v>0.57031529626134769</v>
      </c>
      <c r="AJ3" s="6">
        <v>0.35167221250916475</v>
      </c>
      <c r="AK3" s="6">
        <v>0.68691373919440901</v>
      </c>
      <c r="AL3" s="5">
        <v>91.53</v>
      </c>
      <c r="AM3" s="5">
        <v>98.49</v>
      </c>
      <c r="AN3" s="5">
        <v>99.56</v>
      </c>
      <c r="AO3" s="5">
        <v>75.17</v>
      </c>
      <c r="AP3" s="5">
        <v>75.650000000000006</v>
      </c>
      <c r="AQ3" s="5">
        <v>86.52</v>
      </c>
      <c r="AR3" s="5">
        <v>84.96</v>
      </c>
      <c r="AS3" s="5">
        <v>77.099999999999994</v>
      </c>
      <c r="AT3" s="5">
        <v>73.150000000000006</v>
      </c>
      <c r="AU3" s="5">
        <v>87.04</v>
      </c>
      <c r="AV3" s="5">
        <v>96.54</v>
      </c>
      <c r="AW3" s="5">
        <v>99.39</v>
      </c>
      <c r="AX3" s="5">
        <v>91.19</v>
      </c>
      <c r="AY3" s="5">
        <v>81.06</v>
      </c>
      <c r="AZ3" s="5">
        <v>89.03</v>
      </c>
      <c r="BA3" s="5">
        <v>87.09</v>
      </c>
      <c r="BB3" s="51">
        <f t="shared" si="0"/>
        <v>5523</v>
      </c>
    </row>
    <row r="4" spans="1:54" ht="12.75" customHeight="1" x14ac:dyDescent="0.25">
      <c r="A4" s="4" t="s">
        <v>87</v>
      </c>
      <c r="B4" s="5">
        <v>2.1533950334463485</v>
      </c>
      <c r="C4" s="6">
        <v>8.9095744680851061E-2</v>
      </c>
      <c r="D4" s="5">
        <v>15.254366562428496</v>
      </c>
      <c r="E4" s="5">
        <v>4.29</v>
      </c>
      <c r="F4" s="6">
        <v>0.93269439182757996</v>
      </c>
      <c r="G4" s="6">
        <v>0.75196253050992812</v>
      </c>
      <c r="H4" s="6">
        <v>0.98373432095973157</v>
      </c>
      <c r="I4" s="6">
        <v>0.16303607104509962</v>
      </c>
      <c r="J4" s="6">
        <v>0.95723159334397079</v>
      </c>
      <c r="K4" s="6">
        <v>3.82785019656528E-2</v>
      </c>
      <c r="L4" s="5">
        <v>16.088919538745387</v>
      </c>
      <c r="M4" s="5">
        <v>7.310734744665246</v>
      </c>
      <c r="N4" s="6">
        <v>0.45695364238410596</v>
      </c>
      <c r="O4" s="7">
        <v>6.02</v>
      </c>
      <c r="P4" s="7">
        <v>5.19</v>
      </c>
      <c r="Q4" s="5">
        <v>13.262500000000001</v>
      </c>
      <c r="R4" s="6">
        <v>0.983955006301375</v>
      </c>
      <c r="S4" s="6">
        <v>0.73426067001485995</v>
      </c>
      <c r="T4" s="5">
        <v>129.77733183340959</v>
      </c>
      <c r="U4" s="5">
        <v>248.32919825506858</v>
      </c>
      <c r="V4" s="5">
        <v>6.2972123041527857</v>
      </c>
      <c r="W4" s="6">
        <v>6.1800000000000001E-2</v>
      </c>
      <c r="X4" s="8">
        <v>-1.7233547768446496E-2</v>
      </c>
      <c r="Y4" s="6">
        <v>0.64085257733391554</v>
      </c>
      <c r="Z4" s="5">
        <v>0.15211024732102812</v>
      </c>
      <c r="AA4" s="5">
        <v>47.106435643564403</v>
      </c>
      <c r="AB4" s="8">
        <v>0.20174929784594786</v>
      </c>
      <c r="AC4" s="6">
        <v>7.1586879432624109E-2</v>
      </c>
      <c r="AD4" s="5">
        <v>2.7379183931099069</v>
      </c>
      <c r="AE4" s="5">
        <v>40.44659489560388</v>
      </c>
      <c r="AF4" s="5">
        <v>262.09704738458919</v>
      </c>
      <c r="AG4" s="5">
        <v>1.560750377959728</v>
      </c>
      <c r="AH4" s="6">
        <v>1.0853558404776231E-2</v>
      </c>
      <c r="AI4" s="6">
        <v>0.48496835833263457</v>
      </c>
      <c r="AJ4" s="6">
        <v>0.19474318162264476</v>
      </c>
      <c r="AK4" s="6">
        <v>0.48096073150873703</v>
      </c>
      <c r="AL4" s="5">
        <v>82.12</v>
      </c>
      <c r="AM4" s="5">
        <v>50.75</v>
      </c>
      <c r="AN4" s="5">
        <v>85.32</v>
      </c>
      <c r="AO4" s="5">
        <v>73.48</v>
      </c>
      <c r="AP4" s="5">
        <v>61.96</v>
      </c>
      <c r="AQ4" s="5">
        <v>78.510000000000005</v>
      </c>
      <c r="AR4" s="5">
        <v>82.52</v>
      </c>
      <c r="AS4" s="5">
        <v>60.16</v>
      </c>
      <c r="AT4" s="5">
        <v>38.659999999999997</v>
      </c>
      <c r="AU4" s="5">
        <v>77.38</v>
      </c>
      <c r="AV4" s="5">
        <v>89.95</v>
      </c>
      <c r="AW4" s="5">
        <v>67.739999999999995</v>
      </c>
      <c r="AX4" s="5">
        <v>72.92</v>
      </c>
      <c r="AY4" s="5">
        <v>70.790000000000006</v>
      </c>
      <c r="AZ4" s="5">
        <v>68.430000000000007</v>
      </c>
      <c r="BA4" s="5">
        <v>70.709999999999994</v>
      </c>
      <c r="BB4" s="51">
        <f t="shared" si="0"/>
        <v>5446</v>
      </c>
    </row>
    <row r="5" spans="1:54" ht="12.75" customHeight="1" x14ac:dyDescent="0.25">
      <c r="A5" s="4" t="s">
        <v>62</v>
      </c>
      <c r="B5" s="5">
        <v>1.9026478515934675</v>
      </c>
      <c r="C5" s="6">
        <v>9.03954802259887E-2</v>
      </c>
      <c r="D5" s="5">
        <v>54.083288263926448</v>
      </c>
      <c r="E5" s="5">
        <v>2.99</v>
      </c>
      <c r="F5" s="6">
        <v>0.999183605695388</v>
      </c>
      <c r="G5" s="6">
        <v>0.99364872905395119</v>
      </c>
      <c r="H5" s="6">
        <v>0.99494942506468886</v>
      </c>
      <c r="I5" s="6">
        <v>1.7252824289197288E-2</v>
      </c>
      <c r="J5" s="6">
        <v>0.97196746599354933</v>
      </c>
      <c r="K5" s="6">
        <v>1.0678218641355333E-2</v>
      </c>
      <c r="L5" s="5">
        <v>9.3053482124072193</v>
      </c>
      <c r="M5" s="5">
        <v>6.7308685403078901</v>
      </c>
      <c r="N5" s="6">
        <v>0.59000000000000008</v>
      </c>
      <c r="O5" s="7">
        <v>6.13</v>
      </c>
      <c r="P5" s="7">
        <v>4.8</v>
      </c>
      <c r="Q5" s="5">
        <v>15.75</v>
      </c>
      <c r="R5" s="6">
        <v>0.99391589868108821</v>
      </c>
      <c r="S5" s="6">
        <v>0.71963467799790304</v>
      </c>
      <c r="T5" s="5">
        <v>165.6351981808485</v>
      </c>
      <c r="U5" s="5">
        <v>101.7384737889856</v>
      </c>
      <c r="V5" s="5">
        <v>8.6849916649134062</v>
      </c>
      <c r="W5" s="6">
        <v>8.1199999999999994E-2</v>
      </c>
      <c r="X5" s="8">
        <v>-1.2820912245248877E-2</v>
      </c>
      <c r="Y5" s="6">
        <v>0.93525358694809813</v>
      </c>
      <c r="Z5" s="5">
        <v>2.4814261899752585</v>
      </c>
      <c r="AA5" s="5">
        <v>24.705882352941199</v>
      </c>
      <c r="AB5" s="8">
        <v>0.24781699418944303</v>
      </c>
      <c r="AC5" s="6">
        <v>7.1832122679580307E-2</v>
      </c>
      <c r="AD5" s="5">
        <v>1.2407130949876293</v>
      </c>
      <c r="AE5" s="5">
        <v>32.223308403814684</v>
      </c>
      <c r="AF5" s="5">
        <v>230.15227912020526</v>
      </c>
      <c r="AG5" s="5">
        <v>3.1017827374690738</v>
      </c>
      <c r="AH5" s="6">
        <v>5.5214000781681361E-3</v>
      </c>
      <c r="AI5" s="6">
        <v>0.5049352757122012</v>
      </c>
      <c r="AJ5" s="6">
        <v>0.28336277847201274</v>
      </c>
      <c r="AK5" s="6">
        <v>0.586864715305082</v>
      </c>
      <c r="AL5" s="5">
        <v>79.77</v>
      </c>
      <c r="AM5" s="5">
        <v>99.32</v>
      </c>
      <c r="AN5" s="5">
        <v>97.27</v>
      </c>
      <c r="AO5" s="5">
        <v>82.45</v>
      </c>
      <c r="AP5" s="5">
        <v>63.26</v>
      </c>
      <c r="AQ5" s="5">
        <v>81.95</v>
      </c>
      <c r="AR5" s="5">
        <v>79.28</v>
      </c>
      <c r="AS5" s="5">
        <v>68.02</v>
      </c>
      <c r="AT5" s="5">
        <v>69.930000000000007</v>
      </c>
      <c r="AU5" s="5">
        <v>75.72</v>
      </c>
      <c r="AV5" s="5">
        <v>93.01</v>
      </c>
      <c r="AW5" s="5">
        <v>83.53</v>
      </c>
      <c r="AX5" s="5">
        <v>89.7</v>
      </c>
      <c r="AY5" s="5">
        <v>73.13</v>
      </c>
      <c r="AZ5" s="5">
        <v>80.55</v>
      </c>
      <c r="BA5" s="5">
        <v>81.13</v>
      </c>
      <c r="BB5" s="51">
        <f t="shared" si="0"/>
        <v>5240</v>
      </c>
    </row>
    <row r="6" spans="1:54" ht="12.75" customHeight="1" x14ac:dyDescent="0.25">
      <c r="A6" s="4" t="s">
        <v>65</v>
      </c>
      <c r="B6" s="5">
        <v>2.1181716833890749</v>
      </c>
      <c r="C6" s="6">
        <v>9.7906403940886705E-2</v>
      </c>
      <c r="D6" s="5">
        <v>0</v>
      </c>
      <c r="E6" s="5">
        <v>5.94</v>
      </c>
      <c r="F6" s="6">
        <v>0.96664860987072299</v>
      </c>
      <c r="G6" s="6">
        <v>0.96027992913927651</v>
      </c>
      <c r="H6" s="6">
        <v>0.99506610251379879</v>
      </c>
      <c r="I6" s="6">
        <v>1.3514108134866068E-2</v>
      </c>
      <c r="J6" s="6">
        <v>0.97319330199764986</v>
      </c>
      <c r="K6" s="6">
        <v>1.8479691137556573E-2</v>
      </c>
      <c r="L6" s="5">
        <v>14.743634444408851</v>
      </c>
      <c r="M6" s="5">
        <v>14.297589530518719</v>
      </c>
      <c r="N6" s="6">
        <v>0.47689768976897695</v>
      </c>
      <c r="O6" s="7">
        <v>6.03</v>
      </c>
      <c r="P6" s="7">
        <v>4.53</v>
      </c>
      <c r="Q6" s="5">
        <v>11.2</v>
      </c>
      <c r="R6" s="6">
        <v>0.99196032216550745</v>
      </c>
      <c r="S6" s="6">
        <v>0.71070173662825165</v>
      </c>
      <c r="T6" s="5">
        <v>181.09315919452317</v>
      </c>
      <c r="U6" s="5">
        <v>96.583018237079031</v>
      </c>
      <c r="V6" s="5">
        <v>8.7802743851890028</v>
      </c>
      <c r="W6" s="6">
        <v>2.06E-2</v>
      </c>
      <c r="X6" s="8">
        <v>-9.1513628712660712E-5</v>
      </c>
      <c r="Y6" s="6">
        <v>0.80602837313310849</v>
      </c>
      <c r="Z6" s="5">
        <v>5.5247037225636593</v>
      </c>
      <c r="AA6" s="5">
        <v>22.176470588235301</v>
      </c>
      <c r="AB6" s="8">
        <v>0.21239615795860162</v>
      </c>
      <c r="AC6" s="6">
        <v>7.4507389162561583E-2</v>
      </c>
      <c r="AD6" s="5">
        <v>9.3290415342633146</v>
      </c>
      <c r="AE6" s="5">
        <v>81.968804508753109</v>
      </c>
      <c r="AF6" s="5">
        <v>186.9091297387435</v>
      </c>
      <c r="AG6" s="5">
        <v>4.0408881244434562</v>
      </c>
      <c r="AH6" s="6">
        <v>6.1327759749188714E-3</v>
      </c>
      <c r="AI6" s="6">
        <v>0.46339322248260983</v>
      </c>
      <c r="AJ6" s="6">
        <v>0.24623825481306261</v>
      </c>
      <c r="AK6" s="6">
        <v>0.61736296985918804</v>
      </c>
      <c r="AL6" s="5">
        <v>78.11</v>
      </c>
      <c r="AM6" s="5">
        <v>84.62</v>
      </c>
      <c r="AN6" s="5">
        <v>95.91</v>
      </c>
      <c r="AO6" s="5">
        <v>63.16</v>
      </c>
      <c r="AP6" s="5">
        <v>53.84</v>
      </c>
      <c r="AQ6" s="5">
        <v>80.319999999999993</v>
      </c>
      <c r="AR6" s="5">
        <v>76.569999999999993</v>
      </c>
      <c r="AS6" s="5">
        <v>52.65</v>
      </c>
      <c r="AT6" s="5">
        <v>79.37</v>
      </c>
      <c r="AU6" s="5">
        <v>85.41</v>
      </c>
      <c r="AV6" s="5">
        <v>92.87</v>
      </c>
      <c r="AW6" s="5">
        <v>78.819999999999993</v>
      </c>
      <c r="AX6" s="5">
        <v>80.45</v>
      </c>
      <c r="AY6" s="5">
        <v>65.849999999999994</v>
      </c>
      <c r="AZ6" s="5">
        <v>84.12</v>
      </c>
      <c r="BA6" s="5">
        <v>76.81</v>
      </c>
      <c r="BB6" s="51">
        <f t="shared" si="0"/>
        <v>4371</v>
      </c>
    </row>
    <row r="7" spans="1:54" ht="12.75" customHeight="1" x14ac:dyDescent="0.25">
      <c r="A7" s="4" t="s">
        <v>66</v>
      </c>
      <c r="B7" s="5">
        <v>2.4342745861733204</v>
      </c>
      <c r="C7" s="6">
        <v>8.7882822902796268E-2</v>
      </c>
      <c r="D7" s="5">
        <v>20.755500207555002</v>
      </c>
      <c r="E7" s="5">
        <v>8.5399999999999991</v>
      </c>
      <c r="F7" s="6">
        <v>0.98709649700684599</v>
      </c>
      <c r="G7" s="6">
        <v>0.9853779394494887</v>
      </c>
      <c r="H7" s="6">
        <v>0.99488729126686337</v>
      </c>
      <c r="I7" s="6">
        <v>0.10277851143626855</v>
      </c>
      <c r="J7" s="6">
        <v>0.92855357746644518</v>
      </c>
      <c r="K7" s="6">
        <v>2.1175164719443296E-2</v>
      </c>
      <c r="L7" s="5">
        <v>15.656182382844756</v>
      </c>
      <c r="M7" s="5">
        <v>11.313222624187713</v>
      </c>
      <c r="N7" s="6">
        <v>0.47951441578148712</v>
      </c>
      <c r="O7" s="7">
        <v>5.91</v>
      </c>
      <c r="P7" s="7">
        <v>5.08</v>
      </c>
      <c r="Q7" s="5">
        <v>12.537499999999998</v>
      </c>
      <c r="R7" s="6">
        <v>0.98541361301248021</v>
      </c>
      <c r="S7" s="6">
        <v>0.68204522491497199</v>
      </c>
      <c r="T7" s="5">
        <v>178.54399656662241</v>
      </c>
      <c r="U7" s="5">
        <v>429.86692428503522</v>
      </c>
      <c r="V7" s="5">
        <v>6.2830731929603196</v>
      </c>
      <c r="W7" s="6">
        <v>3.3300000000000003E-2</v>
      </c>
      <c r="X7" s="8">
        <v>2.6460051870745671E-3</v>
      </c>
      <c r="Y7" s="6">
        <v>0.33303120504950362</v>
      </c>
      <c r="Z7" s="5">
        <v>4.1715485954548654</v>
      </c>
      <c r="AA7" s="5">
        <v>30.0841584158416</v>
      </c>
      <c r="AB7" s="8">
        <v>0.20726467304748217</v>
      </c>
      <c r="AC7" s="6">
        <v>8.3888149134487347E-2</v>
      </c>
      <c r="AD7" s="5">
        <v>8.3774309239470934</v>
      </c>
      <c r="AE7" s="5">
        <v>9.1804995073549023</v>
      </c>
      <c r="AF7" s="5">
        <v>160.43295225746937</v>
      </c>
      <c r="AG7" s="5">
        <v>3.4419567629132306</v>
      </c>
      <c r="AH7" s="6">
        <v>1.1864138186044055E-2</v>
      </c>
      <c r="AI7" s="6">
        <v>0.40718813275816534</v>
      </c>
      <c r="AJ7" s="6">
        <v>0.258067079955492</v>
      </c>
      <c r="AK7" s="6">
        <v>0.54241973208590299</v>
      </c>
      <c r="AL7" s="5">
        <v>77.650000000000006</v>
      </c>
      <c r="AM7" s="5">
        <v>94.21</v>
      </c>
      <c r="AN7" s="5">
        <v>87.49</v>
      </c>
      <c r="AO7" s="5">
        <v>67.17</v>
      </c>
      <c r="AP7" s="5">
        <v>60.52</v>
      </c>
      <c r="AQ7" s="5">
        <v>74.989999999999995</v>
      </c>
      <c r="AR7" s="5">
        <v>68.349999999999994</v>
      </c>
      <c r="AS7" s="5">
        <v>57.74</v>
      </c>
      <c r="AT7" s="5">
        <v>68.66</v>
      </c>
      <c r="AU7" s="5">
        <v>64.11</v>
      </c>
      <c r="AV7" s="5">
        <v>90.72</v>
      </c>
      <c r="AW7" s="5">
        <v>73.2</v>
      </c>
      <c r="AX7" s="5">
        <v>81.63</v>
      </c>
      <c r="AY7" s="5">
        <v>65.400000000000006</v>
      </c>
      <c r="AZ7" s="5">
        <v>74.17</v>
      </c>
      <c r="BA7" s="5">
        <v>73.73</v>
      </c>
      <c r="BB7" s="51">
        <f t="shared" si="0"/>
        <v>3361</v>
      </c>
    </row>
    <row r="8" spans="1:54" ht="12.75" customHeight="1" x14ac:dyDescent="0.25">
      <c r="A8" s="4" t="s">
        <v>47</v>
      </c>
      <c r="B8" s="5">
        <v>1.929570670525808</v>
      </c>
      <c r="C8" s="6">
        <v>9.5360824742268036E-2</v>
      </c>
      <c r="D8" s="5">
        <v>168.91891891891893</v>
      </c>
      <c r="E8" s="5">
        <v>11.7</v>
      </c>
      <c r="F8" s="6">
        <v>0.996585465294058</v>
      </c>
      <c r="G8" s="6">
        <v>0.92228111303638771</v>
      </c>
      <c r="H8" s="6">
        <v>0.92335134033228006</v>
      </c>
      <c r="I8" s="6">
        <v>2.6250546886393469E-3</v>
      </c>
      <c r="J8" s="6">
        <v>0.96910011766511484</v>
      </c>
      <c r="K8" s="6">
        <v>3.7671404892259779E-2</v>
      </c>
      <c r="L8" s="5">
        <v>33.122479397086231</v>
      </c>
      <c r="M8" s="5">
        <v>69.900448637511445</v>
      </c>
      <c r="N8" s="6">
        <v>0.40506329113924056</v>
      </c>
      <c r="O8" s="7">
        <v>5.9</v>
      </c>
      <c r="P8" s="7">
        <v>4.93</v>
      </c>
      <c r="Q8" s="5">
        <v>3.0333333333333332</v>
      </c>
      <c r="R8" s="6">
        <v>0.97468481591240141</v>
      </c>
      <c r="S8" s="6">
        <v>0.50755939524838012</v>
      </c>
      <c r="T8" s="5">
        <v>234.79593635357998</v>
      </c>
      <c r="U8" s="5">
        <v>310.68957234665635</v>
      </c>
      <c r="V8" s="5">
        <v>30.831789622187266</v>
      </c>
      <c r="W8" s="6">
        <v>5.7200000000000001E-2</v>
      </c>
      <c r="X8" s="8">
        <v>1.2102122261313218E-6</v>
      </c>
      <c r="Y8" s="6">
        <v>0.86435398092131133</v>
      </c>
      <c r="Z8" s="5">
        <v>12.841591710549766</v>
      </c>
      <c r="AA8" s="5">
        <v>31.038461538461501</v>
      </c>
      <c r="AB8" s="8">
        <v>0.26019996171765486</v>
      </c>
      <c r="AC8" s="6">
        <v>0.1134020618556701</v>
      </c>
      <c r="AD8" s="5">
        <v>0</v>
      </c>
      <c r="AE8" s="5">
        <v>92.444985329635259</v>
      </c>
      <c r="AF8" s="5">
        <v>907.38985898181704</v>
      </c>
      <c r="AG8" s="5">
        <v>10.761174057230788</v>
      </c>
      <c r="AH8" s="6">
        <v>1.348986437217442E-2</v>
      </c>
      <c r="AI8" s="6">
        <v>0.24024505183788877</v>
      </c>
      <c r="AJ8" s="6">
        <v>0.18027904060197522</v>
      </c>
      <c r="AK8" s="6">
        <v>0.39369877049180302</v>
      </c>
      <c r="AL8" s="5">
        <v>59.16</v>
      </c>
      <c r="AM8" s="5">
        <v>74.180000000000007</v>
      </c>
      <c r="AN8" s="5">
        <v>91.81</v>
      </c>
      <c r="AO8" s="5">
        <v>12.8</v>
      </c>
      <c r="AP8" s="5">
        <v>62.1</v>
      </c>
      <c r="AQ8" s="5">
        <v>56</v>
      </c>
      <c r="AR8" s="5">
        <v>39.83</v>
      </c>
      <c r="AS8" s="5">
        <v>64.63</v>
      </c>
      <c r="AT8" s="5">
        <v>48.61</v>
      </c>
      <c r="AU8" s="5">
        <v>85.53</v>
      </c>
      <c r="AV8" s="5">
        <v>54.88</v>
      </c>
      <c r="AW8" s="5">
        <v>48.26</v>
      </c>
      <c r="AX8" s="5">
        <v>59.49</v>
      </c>
      <c r="AY8" s="5">
        <v>55.64</v>
      </c>
      <c r="AZ8" s="5">
        <v>59.32</v>
      </c>
      <c r="BA8" s="5">
        <v>58.15</v>
      </c>
      <c r="BB8" s="51">
        <f t="shared" si="0"/>
        <v>2229</v>
      </c>
    </row>
    <row r="9" spans="1:54" ht="12.75" customHeight="1" x14ac:dyDescent="0.25">
      <c r="A9" s="4" t="s">
        <v>70</v>
      </c>
      <c r="B9" s="5">
        <v>2.6557436082102988</v>
      </c>
      <c r="C9" s="6">
        <v>9.4958713602781394E-2</v>
      </c>
      <c r="D9" s="5">
        <v>46.175157765122364</v>
      </c>
      <c r="E9" s="5">
        <v>17.899999999999999</v>
      </c>
      <c r="F9" s="6">
        <v>0.98772125425383805</v>
      </c>
      <c r="G9" s="6">
        <v>0.96066429107550155</v>
      </c>
      <c r="H9" s="6">
        <v>0.99112432503333847</v>
      </c>
      <c r="I9" s="6">
        <v>0.11454012499308666</v>
      </c>
      <c r="J9" s="6">
        <v>0.96258070215475677</v>
      </c>
      <c r="K9" s="6">
        <v>3.2482000214922806E-2</v>
      </c>
      <c r="L9" s="5">
        <v>20.618896228399425</v>
      </c>
      <c r="M9" s="5">
        <v>13.629211188485856</v>
      </c>
      <c r="N9" s="6">
        <v>0.43876337693222356</v>
      </c>
      <c r="O9" s="7">
        <v>5.77</v>
      </c>
      <c r="P9" s="7">
        <v>4.78</v>
      </c>
      <c r="Q9" s="5">
        <v>14.52</v>
      </c>
      <c r="R9" s="6">
        <v>0.97910950317011136</v>
      </c>
      <c r="S9" s="6">
        <v>0.58883834222874953</v>
      </c>
      <c r="T9" s="5">
        <v>227.46520867344302</v>
      </c>
      <c r="U9" s="5">
        <v>382.96686681524369</v>
      </c>
      <c r="V9" s="5">
        <v>14.090765139062841</v>
      </c>
      <c r="W9" s="6">
        <v>1.8700000000000001E-2</v>
      </c>
      <c r="X9" s="8">
        <v>-7.0421033657848001E-3</v>
      </c>
      <c r="Y9" s="6">
        <v>0.58419172163587962</v>
      </c>
      <c r="Z9" s="5">
        <v>6.381687565215211</v>
      </c>
      <c r="AA9" s="5">
        <v>28.0491803278689</v>
      </c>
      <c r="AB9" s="8">
        <v>0.20488671439497383</v>
      </c>
      <c r="AC9" s="6">
        <v>0.11625380269448066</v>
      </c>
      <c r="AD9" s="5">
        <v>9.8132114361330505</v>
      </c>
      <c r="AE9" s="5">
        <v>32.659709507530707</v>
      </c>
      <c r="AF9" s="5">
        <v>227.42817232676623</v>
      </c>
      <c r="AG9" s="5">
        <v>7.1089119282425388</v>
      </c>
      <c r="AH9" s="6">
        <v>1.0897929016395915E-2</v>
      </c>
      <c r="AI9" s="6">
        <v>0.24113800774379973</v>
      </c>
      <c r="AJ9" s="6">
        <v>0.17755513937123843</v>
      </c>
      <c r="AK9" s="6">
        <v>0.38976067721818197</v>
      </c>
      <c r="AL9" s="5">
        <v>63.51</v>
      </c>
      <c r="AM9" s="5">
        <v>91.26</v>
      </c>
      <c r="AN9" s="5">
        <v>88.64</v>
      </c>
      <c r="AO9" s="5">
        <v>57.39</v>
      </c>
      <c r="AP9" s="5">
        <v>48.34</v>
      </c>
      <c r="AQ9" s="5">
        <v>64.58</v>
      </c>
      <c r="AR9" s="5">
        <v>54.72</v>
      </c>
      <c r="AS9" s="5">
        <v>49.62</v>
      </c>
      <c r="AT9" s="5">
        <v>72.31</v>
      </c>
      <c r="AU9" s="5">
        <v>64.239999999999995</v>
      </c>
      <c r="AV9" s="5">
        <v>82.37</v>
      </c>
      <c r="AW9" s="5">
        <v>47.82</v>
      </c>
      <c r="AX9" s="5">
        <v>75.2</v>
      </c>
      <c r="AY9" s="5">
        <v>54.32</v>
      </c>
      <c r="AZ9" s="5">
        <v>66.680000000000007</v>
      </c>
      <c r="BA9" s="5">
        <v>65.400000000000006</v>
      </c>
      <c r="BB9" s="51">
        <f t="shared" si="0"/>
        <v>1966</v>
      </c>
    </row>
    <row r="10" spans="1:54" ht="12.75" customHeight="1" x14ac:dyDescent="0.25">
      <c r="A10" s="4" t="s">
        <v>81</v>
      </c>
      <c r="B10" s="5">
        <v>1.6573277562938993</v>
      </c>
      <c r="C10" s="6">
        <v>8.6776859504132234E-2</v>
      </c>
      <c r="D10" s="5">
        <v>53.390282968499733</v>
      </c>
      <c r="E10" s="5">
        <v>7.83</v>
      </c>
      <c r="F10" s="6">
        <v>0.99059141658419703</v>
      </c>
      <c r="G10" s="6">
        <v>0.95113112080621109</v>
      </c>
      <c r="H10" s="6">
        <v>0.98239549503087409</v>
      </c>
      <c r="I10" s="6">
        <v>0.17024659647934368</v>
      </c>
      <c r="J10" s="6">
        <v>0.97808330873153104</v>
      </c>
      <c r="K10" s="6">
        <v>4.3273935033971415E-2</v>
      </c>
      <c r="L10" s="5">
        <v>23.928289899022651</v>
      </c>
      <c r="M10" s="5">
        <v>5.3111419932732629</v>
      </c>
      <c r="N10" s="6">
        <v>0.5479323308270676</v>
      </c>
      <c r="O10" s="7">
        <v>5.84</v>
      </c>
      <c r="P10" s="7">
        <v>4.7</v>
      </c>
      <c r="Q10" s="5">
        <v>11.222222222222221</v>
      </c>
      <c r="R10" s="6">
        <v>0.96937748928487755</v>
      </c>
      <c r="S10" s="6">
        <v>0.56143107178787499</v>
      </c>
      <c r="T10" s="5">
        <v>209.72442323261032</v>
      </c>
      <c r="U10" s="5">
        <v>98.528252525387387</v>
      </c>
      <c r="V10" s="5">
        <v>10.322007407421538</v>
      </c>
      <c r="W10" s="6">
        <v>3.4200000000000001E-2</v>
      </c>
      <c r="X10" s="8">
        <v>-0.11612332041442243</v>
      </c>
      <c r="Y10" s="6">
        <v>6.2614842113716306E-3</v>
      </c>
      <c r="Z10" s="5">
        <v>3.2842750841795798</v>
      </c>
      <c r="AA10" s="5">
        <v>28.183673469387799</v>
      </c>
      <c r="AB10" s="8">
        <v>0.21012841903674673</v>
      </c>
      <c r="AC10" s="6">
        <v>0.12024793388429753</v>
      </c>
      <c r="AD10" s="5">
        <v>16.421375420897899</v>
      </c>
      <c r="AE10" s="5">
        <v>23.674746109209149</v>
      </c>
      <c r="AF10" s="5">
        <v>185.79613333358768</v>
      </c>
      <c r="AG10" s="5">
        <v>5.1610037037107688</v>
      </c>
      <c r="AH10" s="6">
        <v>1.569806279225117E-2</v>
      </c>
      <c r="AI10" s="6">
        <v>0.27844664680689535</v>
      </c>
      <c r="AJ10" s="6">
        <v>0.13028243788490126</v>
      </c>
      <c r="AK10" s="6">
        <v>0.36569196772701601</v>
      </c>
      <c r="AL10" s="5">
        <v>79.53</v>
      </c>
      <c r="AM10" s="5">
        <v>89.27</v>
      </c>
      <c r="AN10" s="5">
        <v>86.42</v>
      </c>
      <c r="AO10" s="5">
        <v>67.66</v>
      </c>
      <c r="AP10" s="5">
        <v>58.59</v>
      </c>
      <c r="AQ10" s="5">
        <v>57.87</v>
      </c>
      <c r="AR10" s="5">
        <v>69.92</v>
      </c>
      <c r="AS10" s="5">
        <v>16.899999999999999</v>
      </c>
      <c r="AT10" s="5">
        <v>66.739999999999995</v>
      </c>
      <c r="AU10" s="5">
        <v>58.16</v>
      </c>
      <c r="AV10" s="5">
        <v>83.61</v>
      </c>
      <c r="AW10" s="5">
        <v>43.68</v>
      </c>
      <c r="AX10" s="5">
        <v>80.72</v>
      </c>
      <c r="AY10" s="5">
        <v>50.82</v>
      </c>
      <c r="AZ10" s="5">
        <v>63.05</v>
      </c>
      <c r="BA10" s="5">
        <v>64.86</v>
      </c>
      <c r="BB10" s="51">
        <f t="shared" si="0"/>
        <v>1943</v>
      </c>
    </row>
    <row r="11" spans="1:54" ht="12.75" customHeight="1" x14ac:dyDescent="0.25">
      <c r="A11" s="4" t="s">
        <v>73</v>
      </c>
      <c r="B11" s="5">
        <v>2.2966946735822695</v>
      </c>
      <c r="C11" s="6">
        <v>8.8219812611853882E-2</v>
      </c>
      <c r="D11" s="5">
        <v>44.634317413760122</v>
      </c>
      <c r="E11" s="5">
        <v>8.5299999999999994</v>
      </c>
      <c r="F11" s="6">
        <v>0.97916122902811598</v>
      </c>
      <c r="G11" s="6">
        <v>0.81673157032041177</v>
      </c>
      <c r="H11" s="6">
        <v>0.96535397721933958</v>
      </c>
      <c r="I11" s="6">
        <v>0.28108666001882587</v>
      </c>
      <c r="J11" s="6">
        <v>0.93209755476986855</v>
      </c>
      <c r="K11" s="6">
        <v>6.22732925023348E-2</v>
      </c>
      <c r="L11" s="5">
        <v>12.927617006636279</v>
      </c>
      <c r="M11" s="5">
        <v>4.0918848402972037</v>
      </c>
      <c r="N11" s="6">
        <v>0.47920907240476884</v>
      </c>
      <c r="O11" s="7">
        <v>6.04</v>
      </c>
      <c r="P11" s="7">
        <v>4.83</v>
      </c>
      <c r="Q11" s="5">
        <v>13.247368421052627</v>
      </c>
      <c r="R11" s="6">
        <v>0.96554820001341546</v>
      </c>
      <c r="S11" s="6">
        <v>0.53973282698767333</v>
      </c>
      <c r="T11" s="5">
        <v>210.5440531317752</v>
      </c>
      <c r="U11" s="5">
        <v>304.29695217069639</v>
      </c>
      <c r="V11" s="5">
        <v>11.199151762328468</v>
      </c>
      <c r="W11" s="6">
        <v>1.8200000000000001E-2</v>
      </c>
      <c r="X11" s="8">
        <v>-1.4887536380963216E-2</v>
      </c>
      <c r="Y11" s="6">
        <v>0.45194717493222569</v>
      </c>
      <c r="Z11" s="5">
        <v>3.3257441545460664</v>
      </c>
      <c r="AA11" s="5">
        <v>32.281786941580798</v>
      </c>
      <c r="AB11" s="8">
        <v>0.20035833086342503</v>
      </c>
      <c r="AC11" s="6">
        <v>0.11443309822086535</v>
      </c>
      <c r="AD11" s="5">
        <v>3.6797212933364967</v>
      </c>
      <c r="AE11" s="5">
        <v>9.5236699082348597</v>
      </c>
      <c r="AF11" s="5">
        <v>249.50556116681645</v>
      </c>
      <c r="AG11" s="5">
        <v>4.4715693815041329</v>
      </c>
      <c r="AH11" s="6">
        <v>1.974443650817213E-2</v>
      </c>
      <c r="AI11" s="6">
        <v>0.19759226142928557</v>
      </c>
      <c r="AJ11" s="6">
        <v>0.11723985021679148</v>
      </c>
      <c r="AK11" s="6">
        <v>0.29096289164814299</v>
      </c>
      <c r="AL11" s="5">
        <v>75.790000000000006</v>
      </c>
      <c r="AM11" s="5">
        <v>68.78</v>
      </c>
      <c r="AN11" s="5">
        <v>73.8</v>
      </c>
      <c r="AO11" s="5">
        <v>82.68</v>
      </c>
      <c r="AP11" s="5">
        <v>57.43</v>
      </c>
      <c r="AQ11" s="5">
        <v>54.36</v>
      </c>
      <c r="AR11" s="5">
        <v>62.82</v>
      </c>
      <c r="AS11" s="5">
        <v>46.74</v>
      </c>
      <c r="AT11" s="5">
        <v>70.819999999999993</v>
      </c>
      <c r="AU11" s="5">
        <v>60.88</v>
      </c>
      <c r="AV11" s="5">
        <v>78.84</v>
      </c>
      <c r="AW11" s="5">
        <v>34.08</v>
      </c>
      <c r="AX11" s="5">
        <v>75.260000000000005</v>
      </c>
      <c r="AY11" s="5">
        <v>55.34</v>
      </c>
      <c r="AZ11" s="5">
        <v>61.15</v>
      </c>
      <c r="BA11" s="5">
        <v>63.92</v>
      </c>
      <c r="BB11" s="51">
        <f t="shared" si="0"/>
        <v>1840</v>
      </c>
    </row>
    <row r="12" spans="1:54" ht="12.75" customHeight="1" x14ac:dyDescent="0.25">
      <c r="A12" s="4" t="s">
        <v>85</v>
      </c>
      <c r="B12" s="5">
        <v>2.5962786672436176</v>
      </c>
      <c r="C12" s="6">
        <v>8.9595375722543349E-2</v>
      </c>
      <c r="D12" s="5">
        <v>73.152889539136794</v>
      </c>
      <c r="E12" s="5">
        <v>6.3</v>
      </c>
      <c r="F12" s="6">
        <v>0.99562748808979995</v>
      </c>
      <c r="G12" s="6">
        <v>0.94433204985968811</v>
      </c>
      <c r="H12" s="6">
        <v>0.95888533576975787</v>
      </c>
      <c r="I12" s="6">
        <v>0.21428920490641645</v>
      </c>
      <c r="J12" s="6">
        <v>0.97008966555402842</v>
      </c>
      <c r="K12" s="6">
        <v>5.5601765947917332E-2</v>
      </c>
      <c r="L12" s="5">
        <v>13.257458337090313</v>
      </c>
      <c r="M12" s="5">
        <v>16.517114928731353</v>
      </c>
      <c r="N12" s="6">
        <v>0.57861635220125784</v>
      </c>
      <c r="O12" s="7">
        <v>6.1</v>
      </c>
      <c r="P12" s="7">
        <v>5.2</v>
      </c>
      <c r="Q12" s="5">
        <v>20.7</v>
      </c>
      <c r="R12" s="6">
        <v>0.97613410966792502</v>
      </c>
      <c r="S12" s="6">
        <v>0.54763580523386013</v>
      </c>
      <c r="T12" s="5">
        <v>230.3105800230727</v>
      </c>
      <c r="U12" s="5">
        <v>467.97149770645626</v>
      </c>
      <c r="V12" s="5">
        <v>4.9002251068738873</v>
      </c>
      <c r="W12" s="6">
        <v>8.5500000000000007E-2</v>
      </c>
      <c r="X12" s="8">
        <v>-2.3649041371939187E-3</v>
      </c>
      <c r="Y12" s="6">
        <v>0.31855105857544658</v>
      </c>
      <c r="Z12" s="5">
        <v>20.003658655457787</v>
      </c>
      <c r="AA12" s="5">
        <v>36.25</v>
      </c>
      <c r="AB12" s="8">
        <v>0.24615125567241952</v>
      </c>
      <c r="AC12" s="6">
        <v>0.13872832369942195</v>
      </c>
      <c r="AD12" s="5">
        <v>24.501125534369439</v>
      </c>
      <c r="AE12" s="5">
        <v>69.564395381833748</v>
      </c>
      <c r="AF12" s="5">
        <v>325.19370589384312</v>
      </c>
      <c r="AG12" s="5">
        <v>17.553546102020842</v>
      </c>
      <c r="AH12" s="6">
        <v>2.3408102428773885E-2</v>
      </c>
      <c r="AI12" s="6">
        <v>0.2289777261844301</v>
      </c>
      <c r="AJ12" s="6">
        <v>0.12533448424687096</v>
      </c>
      <c r="AK12" s="6">
        <v>0.242503830159772</v>
      </c>
      <c r="AL12" s="5">
        <v>72.2</v>
      </c>
      <c r="AM12" s="5">
        <v>84.64</v>
      </c>
      <c r="AN12" s="5">
        <v>81.58</v>
      </c>
      <c r="AO12" s="5">
        <v>61.13</v>
      </c>
      <c r="AP12" s="5">
        <v>65.3</v>
      </c>
      <c r="AQ12" s="5">
        <v>59.89</v>
      </c>
      <c r="AR12" s="5">
        <v>57.92</v>
      </c>
      <c r="AS12" s="5">
        <v>73.040000000000006</v>
      </c>
      <c r="AT12" s="5">
        <v>34.409999999999997</v>
      </c>
      <c r="AU12" s="5">
        <v>64</v>
      </c>
      <c r="AV12" s="5">
        <v>50.99</v>
      </c>
      <c r="AW12" s="5">
        <v>34.25</v>
      </c>
      <c r="AX12" s="5">
        <v>74.89</v>
      </c>
      <c r="AY12" s="5">
        <v>64.040000000000006</v>
      </c>
      <c r="AZ12" s="5">
        <v>45.91</v>
      </c>
      <c r="BA12" s="5">
        <v>61.61</v>
      </c>
      <c r="BB12" s="51">
        <f t="shared" si="0"/>
        <v>1839</v>
      </c>
    </row>
    <row r="13" spans="1:54" ht="12.75" customHeight="1" x14ac:dyDescent="0.25">
      <c r="A13" s="4" t="s">
        <v>59</v>
      </c>
      <c r="B13" s="5">
        <v>2.3821677726731325</v>
      </c>
      <c r="C13" s="6">
        <v>0.10044843049327354</v>
      </c>
      <c r="D13" s="5">
        <v>29.010733971569483</v>
      </c>
      <c r="E13" s="5">
        <v>8.2799999999999994</v>
      </c>
      <c r="F13" s="6">
        <v>0.994550617852483</v>
      </c>
      <c r="G13" s="6">
        <v>0.93027093407015116</v>
      </c>
      <c r="H13" s="6">
        <v>0.96446388824929008</v>
      </c>
      <c r="I13" s="6">
        <v>0.17473884140550799</v>
      </c>
      <c r="J13" s="6">
        <v>0.9077171717171717</v>
      </c>
      <c r="K13" s="6">
        <v>8.1346841477949947E-2</v>
      </c>
      <c r="L13" s="5">
        <v>26.933815396964714</v>
      </c>
      <c r="M13" s="5">
        <v>16.037862804556262</v>
      </c>
      <c r="N13" s="6">
        <v>0.67500000000000004</v>
      </c>
      <c r="O13" s="7">
        <v>5.28</v>
      </c>
      <c r="P13" s="7">
        <v>4.78</v>
      </c>
      <c r="Q13" s="5">
        <v>10.68</v>
      </c>
      <c r="R13" s="6">
        <v>0.95306912991656734</v>
      </c>
      <c r="S13" s="6">
        <v>0.4588423718712753</v>
      </c>
      <c r="T13" s="5">
        <v>232.61022388287705</v>
      </c>
      <c r="U13" s="5">
        <v>1152.0327403883543</v>
      </c>
      <c r="V13" s="5">
        <v>15.915436370933692</v>
      </c>
      <c r="W13" s="6">
        <v>2.6499999999999999E-2</v>
      </c>
      <c r="X13" s="8">
        <v>3.419502553835635E-3</v>
      </c>
      <c r="Y13" s="6">
        <v>0.56369370530667173</v>
      </c>
      <c r="Z13" s="5">
        <v>20.812493715836368</v>
      </c>
      <c r="AA13" s="5">
        <v>23.2459016393443</v>
      </c>
      <c r="AB13" s="8">
        <v>0.23024794747486446</v>
      </c>
      <c r="AC13" s="6">
        <v>0.16860986547085202</v>
      </c>
      <c r="AD13" s="5">
        <v>3.6727930086770062</v>
      </c>
      <c r="AE13" s="5">
        <v>17.886072128980373</v>
      </c>
      <c r="AF13" s="5">
        <v>303.61755538396585</v>
      </c>
      <c r="AG13" s="5">
        <v>9.7941146898053493</v>
      </c>
      <c r="AH13" s="6">
        <v>2.2754036087369419E-2</v>
      </c>
      <c r="AI13" s="6">
        <v>0.15161742356958177</v>
      </c>
      <c r="AJ13" s="6">
        <v>6.6311133159700691E-2</v>
      </c>
      <c r="AK13" s="6">
        <v>0.217968407196139</v>
      </c>
      <c r="AL13" s="5">
        <v>70.78</v>
      </c>
      <c r="AM13" s="5">
        <v>84.36</v>
      </c>
      <c r="AN13" s="5">
        <v>70.41</v>
      </c>
      <c r="AO13" s="5">
        <v>45.86</v>
      </c>
      <c r="AP13" s="5">
        <v>60.26</v>
      </c>
      <c r="AQ13" s="5">
        <v>42.08</v>
      </c>
      <c r="AR13" s="5">
        <v>39</v>
      </c>
      <c r="AS13" s="5">
        <v>55.79</v>
      </c>
      <c r="AT13" s="5">
        <v>54.93</v>
      </c>
      <c r="AU13" s="5">
        <v>53.62</v>
      </c>
      <c r="AV13" s="5">
        <v>65.260000000000005</v>
      </c>
      <c r="AW13" s="5">
        <v>22.48</v>
      </c>
      <c r="AX13" s="5">
        <v>67.849999999999994</v>
      </c>
      <c r="AY13" s="5">
        <v>49.28</v>
      </c>
      <c r="AZ13" s="5">
        <v>49.07</v>
      </c>
      <c r="BA13" s="5">
        <v>55.4</v>
      </c>
      <c r="BB13" s="51">
        <f t="shared" si="0"/>
        <v>1710</v>
      </c>
    </row>
    <row r="14" spans="1:54" ht="12.75" customHeight="1" x14ac:dyDescent="0.25">
      <c r="A14" s="4" t="s">
        <v>71</v>
      </c>
      <c r="B14" s="5">
        <v>1.9855452307203556</v>
      </c>
      <c r="C14" s="6">
        <v>8.7155963302752298E-2</v>
      </c>
      <c r="D14" s="5">
        <v>27.901785714285712</v>
      </c>
      <c r="E14" s="5">
        <v>12.5</v>
      </c>
      <c r="F14" s="6">
        <v>0.99797400943532699</v>
      </c>
      <c r="G14" s="6">
        <v>0.97782987467801219</v>
      </c>
      <c r="H14" s="6">
        <v>0.99604931839888855</v>
      </c>
      <c r="I14" s="6">
        <v>0.10003843273286295</v>
      </c>
      <c r="J14" s="6">
        <v>0.97681670479548866</v>
      </c>
      <c r="K14" s="6">
        <v>3.8772236593014348E-2</v>
      </c>
      <c r="L14" s="5">
        <v>24.637294712605698</v>
      </c>
      <c r="M14" s="5">
        <v>13.466745289910275</v>
      </c>
      <c r="N14" s="6">
        <v>0.50124895920066614</v>
      </c>
      <c r="O14" s="7">
        <v>5.95</v>
      </c>
      <c r="P14" s="7">
        <v>4.68</v>
      </c>
      <c r="Q14" s="5">
        <v>14.184615384615388</v>
      </c>
      <c r="R14" s="6">
        <v>0.96577985231000452</v>
      </c>
      <c r="S14" s="6">
        <v>0.54207430743218832</v>
      </c>
      <c r="T14" s="5">
        <v>262.14081574212463</v>
      </c>
      <c r="U14" s="5">
        <v>479.44175510730685</v>
      </c>
      <c r="V14" s="5">
        <v>18.724343981580329</v>
      </c>
      <c r="W14" s="6">
        <v>1.78E-2</v>
      </c>
      <c r="X14" s="8">
        <v>-6.3777523057272967E-2</v>
      </c>
      <c r="Y14" s="6">
        <v>0.67015301837741492</v>
      </c>
      <c r="Z14" s="5">
        <v>11.333155567798622</v>
      </c>
      <c r="AA14" s="5">
        <v>31.3888888888889</v>
      </c>
      <c r="AB14" s="8">
        <v>0.19195736626771875</v>
      </c>
      <c r="AC14" s="6">
        <v>0.12510425354462051</v>
      </c>
      <c r="AD14" s="5">
        <v>4.927458942521139</v>
      </c>
      <c r="AE14" s="5">
        <v>49.819457130722355</v>
      </c>
      <c r="AF14" s="5">
        <v>182.80872676753427</v>
      </c>
      <c r="AG14" s="5">
        <v>11.333155567798622</v>
      </c>
      <c r="AH14" s="6">
        <v>1.4229965706176829E-2</v>
      </c>
      <c r="AI14" s="6">
        <v>0.18176964589766528</v>
      </c>
      <c r="AJ14" s="6">
        <v>0.12868324487771077</v>
      </c>
      <c r="AK14" s="6">
        <v>0.365551776266062</v>
      </c>
      <c r="AL14" s="5">
        <v>76.83</v>
      </c>
      <c r="AM14" s="5">
        <v>97.73</v>
      </c>
      <c r="AN14" s="5">
        <v>89.41</v>
      </c>
      <c r="AO14" s="5">
        <v>52.94</v>
      </c>
      <c r="AP14" s="5">
        <v>53.92</v>
      </c>
      <c r="AQ14" s="5">
        <v>54.65</v>
      </c>
      <c r="AR14" s="5">
        <v>41.26</v>
      </c>
      <c r="AS14" s="5">
        <v>29.68</v>
      </c>
      <c r="AT14" s="5">
        <v>69.209999999999994</v>
      </c>
      <c r="AU14" s="5">
        <v>69.55</v>
      </c>
      <c r="AV14" s="5">
        <v>74.58</v>
      </c>
      <c r="AW14" s="5">
        <v>38.14</v>
      </c>
      <c r="AX14" s="5">
        <v>79.23</v>
      </c>
      <c r="AY14" s="5">
        <v>44.88</v>
      </c>
      <c r="AZ14" s="5">
        <v>62.87</v>
      </c>
      <c r="BA14" s="5">
        <v>62.33</v>
      </c>
      <c r="BB14" s="51">
        <f t="shared" si="0"/>
        <v>1517</v>
      </c>
    </row>
    <row r="15" spans="1:54" ht="12.75" customHeight="1" x14ac:dyDescent="0.25">
      <c r="A15" s="4" t="s">
        <v>67</v>
      </c>
      <c r="B15" s="5">
        <v>1.9941836310760284</v>
      </c>
      <c r="C15" s="6">
        <v>8.5328422344996935E-2</v>
      </c>
      <c r="D15" s="5">
        <v>11.844131232974062</v>
      </c>
      <c r="E15" s="5">
        <v>32.9</v>
      </c>
      <c r="F15" s="6">
        <v>0.99503702690556695</v>
      </c>
      <c r="G15" s="6">
        <v>0.9718439203579593</v>
      </c>
      <c r="H15" s="6">
        <v>0.99114871333945564</v>
      </c>
      <c r="I15" s="6">
        <v>0.24441658995802243</v>
      </c>
      <c r="J15" s="6">
        <v>0.90639962510951289</v>
      </c>
      <c r="K15" s="6">
        <v>6.62629556306044E-2</v>
      </c>
      <c r="L15" s="5">
        <v>39.687874292204967</v>
      </c>
      <c r="M15" s="5">
        <v>11.751519972740654</v>
      </c>
      <c r="N15" s="6">
        <v>0.43166023166023171</v>
      </c>
      <c r="O15" s="7">
        <v>5.59</v>
      </c>
      <c r="P15" s="7">
        <v>4.74</v>
      </c>
      <c r="Q15" s="5">
        <v>17.255555555555556</v>
      </c>
      <c r="R15" s="6">
        <v>0.9723225030084236</v>
      </c>
      <c r="S15" s="6">
        <v>0.47659252358215909</v>
      </c>
      <c r="T15" s="5">
        <v>326.6706586875772</v>
      </c>
      <c r="U15" s="5">
        <v>477.39197249788509</v>
      </c>
      <c r="V15" s="5">
        <v>27.168648841343057</v>
      </c>
      <c r="W15" s="6">
        <v>4.4000000000000003E-3</v>
      </c>
      <c r="X15" s="8">
        <v>-4.0998637635162516E-3</v>
      </c>
      <c r="Y15" s="6">
        <v>0.89302911071191748</v>
      </c>
      <c r="Z15" s="5">
        <v>13.92455121539564</v>
      </c>
      <c r="AA15" s="5">
        <v>23.079881656804702</v>
      </c>
      <c r="AB15" s="8">
        <v>0.200580671452979</v>
      </c>
      <c r="AC15" s="6">
        <v>0.17188459177409454</v>
      </c>
      <c r="AD15" s="5">
        <v>15.524942195053175</v>
      </c>
      <c r="AE15" s="5">
        <v>5.2779891230561491</v>
      </c>
      <c r="AF15" s="5">
        <v>214.42036725517812</v>
      </c>
      <c r="AG15" s="5">
        <v>11.033047483678921</v>
      </c>
      <c r="AH15" s="6">
        <v>1.9963832690286402E-2</v>
      </c>
      <c r="AI15" s="6">
        <v>0.13433088932116316</v>
      </c>
      <c r="AJ15" s="6">
        <v>8.3555288255004731E-2</v>
      </c>
      <c r="AK15" s="6">
        <v>0.238924744658187</v>
      </c>
      <c r="AL15" s="5">
        <v>64.7</v>
      </c>
      <c r="AM15" s="5">
        <v>94.92</v>
      </c>
      <c r="AN15" s="5">
        <v>71.2</v>
      </c>
      <c r="AO15" s="5">
        <v>38.159999999999997</v>
      </c>
      <c r="AP15" s="5">
        <v>41.64</v>
      </c>
      <c r="AQ15" s="5">
        <v>52.42</v>
      </c>
      <c r="AR15" s="5">
        <v>32.61</v>
      </c>
      <c r="AS15" s="5">
        <v>45.97</v>
      </c>
      <c r="AT15" s="5">
        <v>75.09</v>
      </c>
      <c r="AU15" s="5">
        <v>44.37</v>
      </c>
      <c r="AV15" s="5">
        <v>69.47</v>
      </c>
      <c r="AW15" s="5">
        <v>24.39</v>
      </c>
      <c r="AX15" s="5">
        <v>67.239999999999995</v>
      </c>
      <c r="AY15" s="5">
        <v>43.16</v>
      </c>
      <c r="AZ15" s="5">
        <v>53.33</v>
      </c>
      <c r="BA15" s="5">
        <v>54.58</v>
      </c>
      <c r="BB15" s="51">
        <f t="shared" si="0"/>
        <v>1296</v>
      </c>
    </row>
    <row r="16" spans="1:54" ht="12.75" customHeight="1" x14ac:dyDescent="0.25">
      <c r="A16" s="4" t="s">
        <v>72</v>
      </c>
      <c r="B16" s="5">
        <v>3.0534351145038165</v>
      </c>
      <c r="C16" s="6">
        <v>9.7885328101155439E-2</v>
      </c>
      <c r="D16" s="5">
        <v>78.353159056912887</v>
      </c>
      <c r="E16" s="5">
        <v>11.2</v>
      </c>
      <c r="F16" s="6">
        <v>0.99070084647169698</v>
      </c>
      <c r="G16" s="6">
        <v>0.9211136518634413</v>
      </c>
      <c r="H16" s="6">
        <v>0.99352509327235528</v>
      </c>
      <c r="I16" s="6">
        <v>7.8657303854094973E-2</v>
      </c>
      <c r="J16" s="6">
        <v>0.96050923371523156</v>
      </c>
      <c r="K16" s="6">
        <v>6.3907905917814367E-2</v>
      </c>
      <c r="L16" s="5">
        <v>30.470292152596627</v>
      </c>
      <c r="M16" s="5">
        <v>19.678955055721257</v>
      </c>
      <c r="N16" s="6">
        <v>0.43100000000000005</v>
      </c>
      <c r="O16" s="7">
        <v>5.84</v>
      </c>
      <c r="P16" s="7">
        <v>4.7300000000000004</v>
      </c>
      <c r="Q16" s="5">
        <v>18.244999999999997</v>
      </c>
      <c r="R16" s="6">
        <v>0.95849032402879542</v>
      </c>
      <c r="S16" s="6">
        <v>0.47433101922367765</v>
      </c>
      <c r="T16" s="5">
        <v>242.41409420517141</v>
      </c>
      <c r="U16" s="5">
        <v>383.70996224022122</v>
      </c>
      <c r="V16" s="5">
        <v>15.369970377858476</v>
      </c>
      <c r="W16" s="6">
        <v>7.6E-3</v>
      </c>
      <c r="X16" s="8">
        <v>-5.667903674834501E-4</v>
      </c>
      <c r="Y16" s="6">
        <v>0.65804501247798886</v>
      </c>
      <c r="Z16" s="5">
        <v>5.1233234592861585</v>
      </c>
      <c r="AA16" s="5">
        <v>33.829015544041503</v>
      </c>
      <c r="AB16" s="8">
        <v>0.19743768386819505</v>
      </c>
      <c r="AC16" s="6">
        <v>0.14759101809461522</v>
      </c>
      <c r="AD16" s="5">
        <v>4.8536748561658341</v>
      </c>
      <c r="AE16" s="5">
        <v>20.186996264273333</v>
      </c>
      <c r="AF16" s="5">
        <v>349.46458964394009</v>
      </c>
      <c r="AG16" s="5">
        <v>7.550160887369076</v>
      </c>
      <c r="AH16" s="6">
        <v>1.7229976772195458E-2</v>
      </c>
      <c r="AI16" s="6">
        <v>0.12345946034181617</v>
      </c>
      <c r="AJ16" s="6">
        <v>9.0226335013687389E-2</v>
      </c>
      <c r="AK16" s="6">
        <v>0.25052123891582301</v>
      </c>
      <c r="AL16" s="5">
        <v>61.44</v>
      </c>
      <c r="AM16" s="5">
        <v>89.36</v>
      </c>
      <c r="AN16" s="5">
        <v>83.02</v>
      </c>
      <c r="AO16" s="5">
        <v>35.5</v>
      </c>
      <c r="AP16" s="5">
        <v>44.37</v>
      </c>
      <c r="AQ16" s="5">
        <v>45.83</v>
      </c>
      <c r="AR16" s="5">
        <v>50.81</v>
      </c>
      <c r="AS16" s="5">
        <v>48.24</v>
      </c>
      <c r="AT16" s="5">
        <v>70.83</v>
      </c>
      <c r="AU16" s="5">
        <v>57.45</v>
      </c>
      <c r="AV16" s="5">
        <v>71.150000000000006</v>
      </c>
      <c r="AW16" s="5">
        <v>25.08</v>
      </c>
      <c r="AX16" s="5">
        <v>67.33</v>
      </c>
      <c r="AY16" s="5">
        <v>47.31</v>
      </c>
      <c r="AZ16" s="5">
        <v>56.13</v>
      </c>
      <c r="BA16" s="5">
        <v>56.92</v>
      </c>
      <c r="BB16" s="51">
        <f t="shared" si="0"/>
        <v>1260</v>
      </c>
    </row>
    <row r="17" spans="1:54" ht="12.75" customHeight="1" x14ac:dyDescent="0.25">
      <c r="A17" s="4" t="s">
        <v>99</v>
      </c>
      <c r="B17" s="5">
        <v>1.8444317242256567</v>
      </c>
      <c r="C17" s="6">
        <v>9.353507565337002E-2</v>
      </c>
      <c r="D17" s="5">
        <v>86.477137606745217</v>
      </c>
      <c r="E17" s="5">
        <v>5.2</v>
      </c>
      <c r="F17" s="6">
        <v>0.99253140205952295</v>
      </c>
      <c r="G17" s="6">
        <v>0.89371707341606632</v>
      </c>
      <c r="H17" s="6">
        <v>0.99294632416732675</v>
      </c>
      <c r="I17" s="6">
        <v>9.0549204546389803E-2</v>
      </c>
      <c r="J17" s="6">
        <v>0.96002941064614677</v>
      </c>
      <c r="K17" s="6">
        <v>7.005308759453098E-2</v>
      </c>
      <c r="L17" s="5">
        <v>29.39110138680984</v>
      </c>
      <c r="M17" s="5">
        <v>8.4744342331968365</v>
      </c>
      <c r="N17" s="6">
        <v>0.51606557377049178</v>
      </c>
      <c r="O17" s="7">
        <v>5.89</v>
      </c>
      <c r="P17" s="7">
        <v>4.78</v>
      </c>
      <c r="Q17" s="5">
        <v>10.31818181818182</v>
      </c>
      <c r="R17" s="6">
        <v>0.9537987679671458</v>
      </c>
      <c r="S17" s="6">
        <v>0.46215004757850453</v>
      </c>
      <c r="T17" s="5">
        <v>230.63850393816054</v>
      </c>
      <c r="U17" s="5">
        <v>635.99077723124617</v>
      </c>
      <c r="V17" s="5">
        <v>15.511970176371859</v>
      </c>
      <c r="W17" s="6">
        <v>8.8999999999999999E-3</v>
      </c>
      <c r="X17" s="8">
        <v>-4.1562378918111258E-2</v>
      </c>
      <c r="Y17" s="6">
        <v>0.40217243062964148</v>
      </c>
      <c r="Z17" s="5">
        <v>2.0410487074173496</v>
      </c>
      <c r="AA17" s="5">
        <v>33.445945945945901</v>
      </c>
      <c r="AB17" s="8">
        <v>0.18333635583547508</v>
      </c>
      <c r="AC17" s="6">
        <v>0.13342503438789546</v>
      </c>
      <c r="AD17" s="5">
        <v>10.613453278570219</v>
      </c>
      <c r="AE17" s="5">
        <v>37.714430912784238</v>
      </c>
      <c r="AF17" s="5">
        <v>314.72971068375534</v>
      </c>
      <c r="AG17" s="5">
        <v>6.9395656052189887</v>
      </c>
      <c r="AH17" s="6">
        <v>2.2740179254833213E-2</v>
      </c>
      <c r="AI17" s="6">
        <v>0.10584105314480741</v>
      </c>
      <c r="AJ17" s="6">
        <v>7.9283887468030695E-2</v>
      </c>
      <c r="AK17" s="6">
        <v>0.21113186402689599</v>
      </c>
      <c r="AL17" s="5">
        <v>73.58</v>
      </c>
      <c r="AM17" s="5">
        <v>87.4</v>
      </c>
      <c r="AN17" s="5">
        <v>81.319999999999993</v>
      </c>
      <c r="AO17" s="5">
        <v>55.85</v>
      </c>
      <c r="AP17" s="5">
        <v>59.55</v>
      </c>
      <c r="AQ17" s="5">
        <v>42.68</v>
      </c>
      <c r="AR17" s="5">
        <v>45.27</v>
      </c>
      <c r="AS17" s="5">
        <v>34.47</v>
      </c>
      <c r="AT17" s="5">
        <v>75.72</v>
      </c>
      <c r="AU17" s="5">
        <v>62.25</v>
      </c>
      <c r="AV17" s="5">
        <v>69.47</v>
      </c>
      <c r="AW17" s="5">
        <v>20.97</v>
      </c>
      <c r="AX17" s="5">
        <v>74.540000000000006</v>
      </c>
      <c r="AY17" s="5">
        <v>45.49</v>
      </c>
      <c r="AZ17" s="5">
        <v>57.1</v>
      </c>
      <c r="BA17" s="5">
        <v>59.04</v>
      </c>
      <c r="BB17" s="51">
        <f t="shared" si="0"/>
        <v>1234</v>
      </c>
    </row>
    <row r="18" spans="1:54" ht="12.75" customHeight="1" x14ac:dyDescent="0.25">
      <c r="A18" s="4" t="s">
        <v>69</v>
      </c>
      <c r="B18" s="5">
        <v>1.7618927762396175</v>
      </c>
      <c r="C18" s="6">
        <v>9.5991561181434593E-2</v>
      </c>
      <c r="D18" s="5">
        <v>72.568940493468801</v>
      </c>
      <c r="E18" s="5">
        <v>15.8</v>
      </c>
      <c r="F18" s="6">
        <v>0.99021482898189706</v>
      </c>
      <c r="G18" s="6">
        <v>0.94731574967753418</v>
      </c>
      <c r="H18" s="6">
        <v>0.99555219499177161</v>
      </c>
      <c r="I18" s="6">
        <v>9.8296228479556977E-2</v>
      </c>
      <c r="J18" s="6">
        <v>0.96291414807071762</v>
      </c>
      <c r="K18" s="6">
        <v>6.0783921385535469E-2</v>
      </c>
      <c r="L18" s="5">
        <v>24.221829648172253</v>
      </c>
      <c r="M18" s="5">
        <v>10.598885458169919</v>
      </c>
      <c r="N18" s="6">
        <v>0.41911764705882348</v>
      </c>
      <c r="O18" s="7">
        <v>5.56</v>
      </c>
      <c r="P18" s="7">
        <v>4.47</v>
      </c>
      <c r="Q18" s="5">
        <v>12.322222222222221</v>
      </c>
      <c r="R18" s="6">
        <v>0.95713555214655732</v>
      </c>
      <c r="S18" s="6">
        <v>0.47264278885702216</v>
      </c>
      <c r="T18" s="5">
        <v>276.7160538594224</v>
      </c>
      <c r="U18" s="5">
        <v>474.16066523391737</v>
      </c>
      <c r="V18" s="5">
        <v>13.94590191864463</v>
      </c>
      <c r="W18" s="6">
        <v>1.3899999999999999E-2</v>
      </c>
      <c r="X18" s="8">
        <v>-1.9662187049087371E-2</v>
      </c>
      <c r="Y18" s="6">
        <v>0.88794154979323003</v>
      </c>
      <c r="Z18" s="5">
        <v>13.94590191864463</v>
      </c>
      <c r="AA18" s="5">
        <v>20.053030303030301</v>
      </c>
      <c r="AB18" s="8">
        <v>0.20093001496115717</v>
      </c>
      <c r="AC18" s="6">
        <v>0.13607594936708861</v>
      </c>
      <c r="AD18" s="5">
        <v>13.211907080821229</v>
      </c>
      <c r="AE18" s="5">
        <v>41.197253902075573</v>
      </c>
      <c r="AF18" s="5">
        <v>167.35082302373556</v>
      </c>
      <c r="AG18" s="5">
        <v>8.8079380538808181</v>
      </c>
      <c r="AH18" s="6">
        <v>1.9776849846295842E-2</v>
      </c>
      <c r="AI18" s="6">
        <v>0.14387124619508426</v>
      </c>
      <c r="AJ18" s="6">
        <v>0.11418462528144098</v>
      </c>
      <c r="AK18" s="6">
        <v>0.29177433247200701</v>
      </c>
      <c r="AL18" s="5">
        <v>66.55</v>
      </c>
      <c r="AM18" s="5">
        <v>92.05</v>
      </c>
      <c r="AN18" s="5">
        <v>83.33</v>
      </c>
      <c r="AO18" s="5">
        <v>58.31</v>
      </c>
      <c r="AP18" s="5">
        <v>40.43</v>
      </c>
      <c r="AQ18" s="5">
        <v>45.07</v>
      </c>
      <c r="AR18" s="5">
        <v>45.13</v>
      </c>
      <c r="AS18" s="5">
        <v>43.68</v>
      </c>
      <c r="AT18" s="5">
        <v>78.010000000000005</v>
      </c>
      <c r="AU18" s="5">
        <v>61.6</v>
      </c>
      <c r="AV18" s="5">
        <v>75.430000000000007</v>
      </c>
      <c r="AW18" s="5">
        <v>30.81</v>
      </c>
      <c r="AX18" s="5">
        <v>75.06</v>
      </c>
      <c r="AY18" s="5">
        <v>43.58</v>
      </c>
      <c r="AZ18" s="5">
        <v>61.46</v>
      </c>
      <c r="BA18" s="5">
        <v>60.03</v>
      </c>
      <c r="BB18" s="51">
        <f t="shared" si="0"/>
        <v>1230</v>
      </c>
    </row>
    <row r="19" spans="1:54" ht="12.75" customHeight="1" x14ac:dyDescent="0.25">
      <c r="A19" s="4" t="s">
        <v>68</v>
      </c>
      <c r="B19" s="5">
        <v>2.0681453906209604</v>
      </c>
      <c r="C19" s="6">
        <v>9.4377510040160636E-2</v>
      </c>
      <c r="D19" s="5">
        <v>70.058674139591901</v>
      </c>
      <c r="E19" s="5">
        <v>19.8</v>
      </c>
      <c r="F19" s="6">
        <v>0.99827597978970395</v>
      </c>
      <c r="G19" s="6">
        <v>0.97402021029632668</v>
      </c>
      <c r="H19" s="6">
        <v>0.99629591697391784</v>
      </c>
      <c r="I19" s="6">
        <v>7.4425466841844534E-2</v>
      </c>
      <c r="J19" s="6">
        <v>0.97526489551103657</v>
      </c>
      <c r="K19" s="6">
        <v>5.9260005372011822E-2</v>
      </c>
      <c r="L19" s="5">
        <v>27.255904490489925</v>
      </c>
      <c r="M19" s="5">
        <v>9.8264456840420351</v>
      </c>
      <c r="N19" s="6">
        <v>0.45767575322812049</v>
      </c>
      <c r="O19" s="7">
        <v>5.59</v>
      </c>
      <c r="P19" s="7">
        <v>4.78</v>
      </c>
      <c r="Q19" s="5">
        <v>16.68</v>
      </c>
      <c r="R19" s="6">
        <v>0.95217230727907598</v>
      </c>
      <c r="S19" s="6">
        <v>0.48667069567553051</v>
      </c>
      <c r="T19" s="5">
        <v>412.29816351830704</v>
      </c>
      <c r="U19" s="5">
        <v>994.11450840536043</v>
      </c>
      <c r="V19" s="5">
        <v>14.438457088189743</v>
      </c>
      <c r="W19" s="6">
        <v>2.2499999999999999E-2</v>
      </c>
      <c r="X19" s="8">
        <v>9.4200870204780871E-4</v>
      </c>
      <c r="Y19" s="6">
        <v>0.72811950017471105</v>
      </c>
      <c r="Z19" s="5">
        <v>9.6467207370208889</v>
      </c>
      <c r="AA19" s="5">
        <v>28.0833333333333</v>
      </c>
      <c r="AB19" s="8">
        <v>0.19896488293616441</v>
      </c>
      <c r="AC19" s="6">
        <v>0.13253012048192772</v>
      </c>
      <c r="AD19" s="5">
        <v>27.807398836513578</v>
      </c>
      <c r="AE19" s="5">
        <v>24.295986596910229</v>
      </c>
      <c r="AF19" s="5">
        <v>205.05080430873184</v>
      </c>
      <c r="AG19" s="5">
        <v>7.5439356345368287</v>
      </c>
      <c r="AH19" s="6">
        <v>1.9465204936569815E-2</v>
      </c>
      <c r="AI19" s="6">
        <v>0.13392743475493316</v>
      </c>
      <c r="AJ19" s="6">
        <v>8.6458823103909732E-2</v>
      </c>
      <c r="AK19" s="6">
        <v>0.20926531314521701</v>
      </c>
      <c r="AL19" s="5">
        <v>63.14</v>
      </c>
      <c r="AM19" s="5">
        <v>97.56</v>
      </c>
      <c r="AN19" s="5">
        <v>85.79</v>
      </c>
      <c r="AO19" s="5">
        <v>56.06</v>
      </c>
      <c r="AP19" s="5">
        <v>44.65</v>
      </c>
      <c r="AQ19" s="5">
        <v>43.9</v>
      </c>
      <c r="AR19" s="5">
        <v>34.31</v>
      </c>
      <c r="AS19" s="5">
        <v>53.62</v>
      </c>
      <c r="AT19" s="5">
        <v>72.680000000000007</v>
      </c>
      <c r="AU19" s="5">
        <v>51.17</v>
      </c>
      <c r="AV19" s="5">
        <v>76.760000000000005</v>
      </c>
      <c r="AW19" s="5">
        <v>23.19</v>
      </c>
      <c r="AX19" s="5">
        <v>75.64</v>
      </c>
      <c r="AY19" s="5">
        <v>44.12</v>
      </c>
      <c r="AZ19" s="5">
        <v>55.95</v>
      </c>
      <c r="BA19" s="5">
        <v>58.57</v>
      </c>
      <c r="BB19" s="51">
        <f t="shared" si="0"/>
        <v>1180</v>
      </c>
    </row>
    <row r="20" spans="1:54" ht="12.75" customHeight="1" x14ac:dyDescent="0.25">
      <c r="A20" s="4" t="s">
        <v>77</v>
      </c>
      <c r="B20" s="5">
        <v>2.7837060406421079</v>
      </c>
      <c r="C20" s="6">
        <v>8.4096858638743457E-2</v>
      </c>
      <c r="D20" s="5">
        <v>77.154540544711054</v>
      </c>
      <c r="E20" s="5">
        <v>6.14</v>
      </c>
      <c r="F20" s="6">
        <v>0.98531758511840295</v>
      </c>
      <c r="G20" s="6">
        <v>0.82209292844579562</v>
      </c>
      <c r="H20" s="6">
        <v>0.99470011997530605</v>
      </c>
      <c r="I20" s="6">
        <v>7.9009895145401826E-2</v>
      </c>
      <c r="J20" s="6">
        <v>0.91939291538375501</v>
      </c>
      <c r="K20" s="6">
        <v>7.1676931382166673E-2</v>
      </c>
      <c r="L20" s="5">
        <v>18.548170874744429</v>
      </c>
      <c r="M20" s="5">
        <v>4.3833177397391312</v>
      </c>
      <c r="N20" s="6">
        <v>0.49706129303106628</v>
      </c>
      <c r="O20" s="7">
        <v>5.95</v>
      </c>
      <c r="P20" s="7">
        <v>4.6399999999999997</v>
      </c>
      <c r="Q20" s="5">
        <v>12.629032258064514</v>
      </c>
      <c r="R20" s="6">
        <v>0.95589558433416733</v>
      </c>
      <c r="S20" s="6">
        <v>0.41791226715736068</v>
      </c>
      <c r="T20" s="5">
        <v>249.70037583264437</v>
      </c>
      <c r="U20" s="5">
        <v>169.90824452242302</v>
      </c>
      <c r="V20" s="5">
        <v>11.898826598892652</v>
      </c>
      <c r="W20" s="6">
        <v>2.3599999999999999E-2</v>
      </c>
      <c r="X20" s="8">
        <v>-2.9232927170226426E-2</v>
      </c>
      <c r="Y20" s="6">
        <v>0.31219972259125234</v>
      </c>
      <c r="Z20" s="5">
        <v>1.5748446969122629</v>
      </c>
      <c r="AA20" s="5">
        <v>38.892857142857103</v>
      </c>
      <c r="AB20" s="8">
        <v>0.17347711178817626</v>
      </c>
      <c r="AC20" s="6">
        <v>0.1331806282722513</v>
      </c>
      <c r="AD20" s="5">
        <v>5.424465067142239</v>
      </c>
      <c r="AE20" s="5">
        <v>15.687105097190578</v>
      </c>
      <c r="AF20" s="5">
        <v>294.32097557849175</v>
      </c>
      <c r="AG20" s="5">
        <v>3.3246721379258877</v>
      </c>
      <c r="AH20" s="6">
        <v>2.0424878801071421E-2</v>
      </c>
      <c r="AI20" s="6">
        <v>0.10463484823155733</v>
      </c>
      <c r="AJ20" s="6">
        <v>7.9587114768993467E-2</v>
      </c>
      <c r="AK20" s="6">
        <v>0.17774091834723801</v>
      </c>
      <c r="AL20" s="5">
        <v>73.75</v>
      </c>
      <c r="AM20" s="5">
        <v>78.760000000000005</v>
      </c>
      <c r="AN20" s="5">
        <v>76.739999999999995</v>
      </c>
      <c r="AO20" s="5">
        <v>75.569999999999993</v>
      </c>
      <c r="AP20" s="5">
        <v>54.47</v>
      </c>
      <c r="AQ20" s="5">
        <v>40.1</v>
      </c>
      <c r="AR20" s="5">
        <v>59.14</v>
      </c>
      <c r="AS20" s="5">
        <v>43.53</v>
      </c>
      <c r="AT20" s="5">
        <v>71.83</v>
      </c>
      <c r="AU20" s="5">
        <v>58.5</v>
      </c>
      <c r="AV20" s="5">
        <v>78.150000000000006</v>
      </c>
      <c r="AW20" s="5">
        <v>19.260000000000002</v>
      </c>
      <c r="AX20" s="5">
        <v>76.209999999999994</v>
      </c>
      <c r="AY20" s="5">
        <v>49.31</v>
      </c>
      <c r="AZ20" s="5">
        <v>56.94</v>
      </c>
      <c r="BA20" s="5">
        <v>60.82</v>
      </c>
      <c r="BB20" s="51">
        <f t="shared" si="0"/>
        <v>1086</v>
      </c>
    </row>
    <row r="21" spans="1:54" ht="12.75" customHeight="1" x14ac:dyDescent="0.25">
      <c r="A21" s="4" t="s">
        <v>64</v>
      </c>
      <c r="B21" s="5">
        <v>3.510193060618334</v>
      </c>
      <c r="C21" s="6">
        <v>9.5630145661811272E-2</v>
      </c>
      <c r="D21" s="5">
        <v>45.777065690089266</v>
      </c>
      <c r="E21" s="5">
        <v>14.3</v>
      </c>
      <c r="F21" s="6">
        <v>0.99414135383237601</v>
      </c>
      <c r="G21" s="6">
        <v>0.93174863795805662</v>
      </c>
      <c r="H21" s="6">
        <v>0.97257258004328684</v>
      </c>
      <c r="I21" s="6">
        <v>0.16456635417157395</v>
      </c>
      <c r="J21" s="6">
        <v>0.88826989754178187</v>
      </c>
      <c r="K21" s="6">
        <v>7.0879448604943995E-2</v>
      </c>
      <c r="L21" s="5">
        <v>45.053318763332506</v>
      </c>
      <c r="M21" s="5">
        <v>22.955782102819452</v>
      </c>
      <c r="N21" s="6">
        <v>0.48370927318295742</v>
      </c>
      <c r="O21" s="7">
        <v>5.91</v>
      </c>
      <c r="P21" s="7">
        <v>4.8</v>
      </c>
      <c r="Q21" s="5">
        <v>27.971428571428572</v>
      </c>
      <c r="R21" s="6">
        <v>0.9531446749287561</v>
      </c>
      <c r="S21" s="6">
        <v>0.36596195904301149</v>
      </c>
      <c r="T21" s="5">
        <v>231.47114816601476</v>
      </c>
      <c r="U21" s="5">
        <v>287.98053645067563</v>
      </c>
      <c r="V21" s="5">
        <v>17.387504087587963</v>
      </c>
      <c r="W21" s="6">
        <v>3.49E-2</v>
      </c>
      <c r="X21" s="8">
        <v>0</v>
      </c>
      <c r="Y21" s="6">
        <v>0.55351057580199736</v>
      </c>
      <c r="Z21" s="5">
        <v>29.604508813961012</v>
      </c>
      <c r="AA21" s="5">
        <v>28.548387096774199</v>
      </c>
      <c r="AB21" s="8">
        <v>0.20977748086071196</v>
      </c>
      <c r="AC21" s="6">
        <v>0.16529449018366055</v>
      </c>
      <c r="AD21" s="5">
        <v>4.3468760218969908</v>
      </c>
      <c r="AE21" s="5">
        <v>7.2849993151534616</v>
      </c>
      <c r="AF21" s="5">
        <v>307.01364146635768</v>
      </c>
      <c r="AG21" s="5">
        <v>12.265703981041165</v>
      </c>
      <c r="AH21" s="6">
        <v>3.2164224808027511E-2</v>
      </c>
      <c r="AI21" s="6">
        <v>8.7907375643224706E-2</v>
      </c>
      <c r="AJ21" s="6">
        <v>5.8394160583941604E-2</v>
      </c>
      <c r="AK21" s="6">
        <v>0.192402565367538</v>
      </c>
      <c r="AL21" s="5">
        <v>61.27</v>
      </c>
      <c r="AM21" s="5">
        <v>86.36</v>
      </c>
      <c r="AN21" s="5">
        <v>70.69</v>
      </c>
      <c r="AO21" s="5">
        <v>14</v>
      </c>
      <c r="AP21" s="5">
        <v>48.9</v>
      </c>
      <c r="AQ21" s="5">
        <v>34.65</v>
      </c>
      <c r="AR21" s="5">
        <v>53.73</v>
      </c>
      <c r="AS21" s="5">
        <v>57.35</v>
      </c>
      <c r="AT21" s="5">
        <v>54.14</v>
      </c>
      <c r="AU21" s="5">
        <v>50.99</v>
      </c>
      <c r="AV21" s="5">
        <v>53.74</v>
      </c>
      <c r="AW21" s="5">
        <v>16.829999999999998</v>
      </c>
      <c r="AX21" s="5">
        <v>58.08</v>
      </c>
      <c r="AY21" s="5">
        <v>48.66</v>
      </c>
      <c r="AZ21" s="5">
        <v>43.92</v>
      </c>
      <c r="BA21" s="5">
        <v>50.22</v>
      </c>
      <c r="BB21" s="51">
        <f t="shared" si="0"/>
        <v>1067</v>
      </c>
    </row>
    <row r="22" spans="1:54" ht="12.75" customHeight="1" x14ac:dyDescent="0.25">
      <c r="A22" s="4" t="s">
        <v>82</v>
      </c>
      <c r="B22" s="5">
        <v>2.3619980754089758</v>
      </c>
      <c r="C22" s="6">
        <v>0.11343561134356113</v>
      </c>
      <c r="D22" s="5">
        <v>60.404711567502268</v>
      </c>
      <c r="E22" s="5">
        <v>6.64</v>
      </c>
      <c r="F22" s="6">
        <v>0.97631797707193502</v>
      </c>
      <c r="G22" s="6">
        <v>0.93836874359618772</v>
      </c>
      <c r="H22" s="6">
        <v>0.9962688731223539</v>
      </c>
      <c r="I22" s="6">
        <v>0.15839007567048599</v>
      </c>
      <c r="J22" s="6">
        <v>0.95778606139854405</v>
      </c>
      <c r="K22" s="6">
        <v>7.9569809426348212E-2</v>
      </c>
      <c r="L22" s="5">
        <v>44.317469616494691</v>
      </c>
      <c r="M22" s="5">
        <v>14.531136516506992</v>
      </c>
      <c r="N22" s="6">
        <v>0.46558197747183983</v>
      </c>
      <c r="O22" s="7">
        <v>5.73</v>
      </c>
      <c r="P22" s="7">
        <v>4.6399999999999997</v>
      </c>
      <c r="Q22" s="5">
        <v>18.2</v>
      </c>
      <c r="R22" s="6">
        <v>0.94869765017087915</v>
      </c>
      <c r="S22" s="6">
        <v>0.42009229402791992</v>
      </c>
      <c r="T22" s="5">
        <v>230.9501937760991</v>
      </c>
      <c r="U22" s="5">
        <v>239.68884975681635</v>
      </c>
      <c r="V22" s="5">
        <v>16.853122248526152</v>
      </c>
      <c r="W22" s="6">
        <v>0</v>
      </c>
      <c r="X22" s="8">
        <v>-2.8648646983646048E-3</v>
      </c>
      <c r="Y22" s="6">
        <v>0.39003147938968785</v>
      </c>
      <c r="Z22" s="5">
        <v>12.483794258167519</v>
      </c>
      <c r="AA22" s="5">
        <v>20.8135593220339</v>
      </c>
      <c r="AB22" s="8">
        <v>0.1938325834920131</v>
      </c>
      <c r="AC22" s="6">
        <v>0.15248721524872152</v>
      </c>
      <c r="AD22" s="5">
        <v>4.3693279903586317</v>
      </c>
      <c r="AE22" s="5">
        <v>47.402719419151573</v>
      </c>
      <c r="AF22" s="5">
        <v>270.89833540223515</v>
      </c>
      <c r="AG22" s="5">
        <v>11.859604545259144</v>
      </c>
      <c r="AH22" s="6">
        <v>2.5221389860912845E-2</v>
      </c>
      <c r="AI22" s="6">
        <v>7.9951827854249397E-2</v>
      </c>
      <c r="AJ22" s="6">
        <v>6.4726465818895615E-2</v>
      </c>
      <c r="AK22" s="6">
        <v>0.19148185187364</v>
      </c>
      <c r="AL22" s="5">
        <v>62.17</v>
      </c>
      <c r="AM22" s="5">
        <v>86.42</v>
      </c>
      <c r="AN22" s="5">
        <v>76.97</v>
      </c>
      <c r="AO22" s="5">
        <v>28.34</v>
      </c>
      <c r="AP22" s="5">
        <v>43.41</v>
      </c>
      <c r="AQ22" s="5">
        <v>36.94</v>
      </c>
      <c r="AR22" s="5">
        <v>55.77</v>
      </c>
      <c r="AS22" s="5">
        <v>44.96</v>
      </c>
      <c r="AT22" s="5">
        <v>75.08</v>
      </c>
      <c r="AU22" s="5">
        <v>64.3</v>
      </c>
      <c r="AV22" s="5">
        <v>61.44</v>
      </c>
      <c r="AW22" s="5">
        <v>17.010000000000002</v>
      </c>
      <c r="AX22" s="5">
        <v>63.48</v>
      </c>
      <c r="AY22" s="5">
        <v>45.27</v>
      </c>
      <c r="AZ22" s="5">
        <v>54.46</v>
      </c>
      <c r="BA22" s="5">
        <v>54.4</v>
      </c>
      <c r="BB22" s="51">
        <f t="shared" si="0"/>
        <v>978</v>
      </c>
    </row>
    <row r="23" spans="1:54" ht="12.75" customHeight="1" x14ac:dyDescent="0.25">
      <c r="A23" s="4" t="s">
        <v>75</v>
      </c>
      <c r="B23" s="5">
        <v>1.7824135199366253</v>
      </c>
      <c r="C23" s="6">
        <v>9.8738343390016456E-2</v>
      </c>
      <c r="D23" s="5">
        <v>83.003206942086393</v>
      </c>
      <c r="E23" s="5">
        <v>7.66</v>
      </c>
      <c r="F23" s="6">
        <v>0.99309493151407002</v>
      </c>
      <c r="G23" s="6">
        <v>0.92280178613112851</v>
      </c>
      <c r="H23" s="6">
        <v>0.99186000105420891</v>
      </c>
      <c r="I23" s="6">
        <v>0.19572231242772203</v>
      </c>
      <c r="J23" s="6">
        <v>0.92766905549430356</v>
      </c>
      <c r="K23" s="6">
        <v>6.9327745293541077E-2</v>
      </c>
      <c r="L23" s="5">
        <v>26.165193176907824</v>
      </c>
      <c r="M23" s="5">
        <v>10.155799758753782</v>
      </c>
      <c r="N23" s="6">
        <v>0.42153937947494036</v>
      </c>
      <c r="O23" s="7">
        <v>5.67</v>
      </c>
      <c r="P23" s="7">
        <v>4.51</v>
      </c>
      <c r="Q23" s="5">
        <v>11.389473684210525</v>
      </c>
      <c r="R23" s="6">
        <v>0.95065400344745998</v>
      </c>
      <c r="S23" s="6">
        <v>0.36654611822759997</v>
      </c>
      <c r="T23" s="5">
        <v>376.03782052476384</v>
      </c>
      <c r="U23" s="5">
        <v>753.92804410629981</v>
      </c>
      <c r="V23" s="5">
        <v>18.755580949818885</v>
      </c>
      <c r="W23" s="6">
        <v>4.1000000000000003E-3</v>
      </c>
      <c r="X23" s="8">
        <v>-1.6226687155741784E-2</v>
      </c>
      <c r="Y23" s="6">
        <v>0.33373640589417164</v>
      </c>
      <c r="Z23" s="5">
        <v>11.345968722729943</v>
      </c>
      <c r="AA23" s="5">
        <v>21.390532544378701</v>
      </c>
      <c r="AB23" s="8">
        <v>0.18775675796429675</v>
      </c>
      <c r="AC23" s="6">
        <v>0.14920460778935821</v>
      </c>
      <c r="AD23" s="5">
        <v>12.735271015309118</v>
      </c>
      <c r="AE23" s="5">
        <v>10.482858467243702</v>
      </c>
      <c r="AF23" s="5">
        <v>261.8834821511748</v>
      </c>
      <c r="AG23" s="5">
        <v>9.262015283861178</v>
      </c>
      <c r="AH23" s="6">
        <v>2.385552583316785E-2</v>
      </c>
      <c r="AI23" s="6">
        <v>8.0869959808116162E-2</v>
      </c>
      <c r="AJ23" s="6">
        <v>5.3465568722299447E-2</v>
      </c>
      <c r="AK23" s="6">
        <v>0.16325404740181201</v>
      </c>
      <c r="AL23" s="5">
        <v>69.81</v>
      </c>
      <c r="AM23" s="5">
        <v>89.96</v>
      </c>
      <c r="AN23" s="5">
        <v>74.510000000000005</v>
      </c>
      <c r="AO23" s="5">
        <v>56.78</v>
      </c>
      <c r="AP23" s="5">
        <v>43.94</v>
      </c>
      <c r="AQ23" s="5">
        <v>33.54</v>
      </c>
      <c r="AR23" s="5">
        <v>32.270000000000003</v>
      </c>
      <c r="AS23" s="5">
        <v>41.67</v>
      </c>
      <c r="AT23" s="5">
        <v>76.87</v>
      </c>
      <c r="AU23" s="5">
        <v>51.03</v>
      </c>
      <c r="AV23" s="5">
        <v>67.19</v>
      </c>
      <c r="AW23" s="5">
        <v>14.45</v>
      </c>
      <c r="AX23" s="5">
        <v>72.760000000000005</v>
      </c>
      <c r="AY23" s="5">
        <v>37.86</v>
      </c>
      <c r="AZ23" s="5">
        <v>52.39</v>
      </c>
      <c r="BA23" s="5">
        <v>54.34</v>
      </c>
      <c r="BB23" s="51">
        <f t="shared" si="0"/>
        <v>969</v>
      </c>
    </row>
    <row r="24" spans="1:54" ht="12.75" customHeight="1" x14ac:dyDescent="0.25">
      <c r="A24" s="4" t="s">
        <v>97</v>
      </c>
      <c r="B24" s="5">
        <v>4.0401834461672852</v>
      </c>
      <c r="C24" s="6">
        <v>9.8005698005698E-2</v>
      </c>
      <c r="D24" s="5">
        <v>74.142724745134387</v>
      </c>
      <c r="E24" s="5">
        <v>11.4</v>
      </c>
      <c r="F24" s="6">
        <v>0.99189093900575898</v>
      </c>
      <c r="G24" s="6">
        <v>0.90513573862968622</v>
      </c>
      <c r="H24" s="6">
        <v>0.99473498648489833</v>
      </c>
      <c r="I24" s="6">
        <v>0.14837226722283012</v>
      </c>
      <c r="J24" s="6">
        <v>0.92071428571428571</v>
      </c>
      <c r="K24" s="6">
        <v>8.7906944086877145E-2</v>
      </c>
      <c r="L24" s="5">
        <v>25.11775660220567</v>
      </c>
      <c r="M24" s="5">
        <v>9.2607946132358894</v>
      </c>
      <c r="N24" s="6">
        <v>0.46448863636363635</v>
      </c>
      <c r="O24" s="7">
        <v>5.44</v>
      </c>
      <c r="P24" s="7">
        <v>4.1500000000000004</v>
      </c>
      <c r="Q24" s="5">
        <v>11.4</v>
      </c>
      <c r="R24" s="6">
        <v>0.94813583916493083</v>
      </c>
      <c r="S24" s="6">
        <v>0.41713670512790507</v>
      </c>
      <c r="T24" s="5">
        <v>251.81348844122283</v>
      </c>
      <c r="U24" s="5">
        <v>93.698042210687575</v>
      </c>
      <c r="V24" s="5">
        <v>21.228462688358903</v>
      </c>
      <c r="W24" s="6">
        <v>0</v>
      </c>
      <c r="X24" s="8">
        <v>0.26683355750594817</v>
      </c>
      <c r="Y24" s="6">
        <v>0.58921780235459609</v>
      </c>
      <c r="Z24" s="5">
        <v>12.259667227477086</v>
      </c>
      <c r="AA24" s="5">
        <v>27.373134328358201</v>
      </c>
      <c r="AB24" s="8">
        <v>0.200395609823392</v>
      </c>
      <c r="AC24" s="6">
        <v>0.17492877492877493</v>
      </c>
      <c r="AD24" s="5">
        <v>19.032414824045912</v>
      </c>
      <c r="AE24" s="5">
        <v>0</v>
      </c>
      <c r="AF24" s="5">
        <v>234.69865344844928</v>
      </c>
      <c r="AG24" s="5">
        <v>9.3203761244195693</v>
      </c>
      <c r="AH24" s="6">
        <v>2.7458122507729252E-2</v>
      </c>
      <c r="AI24" s="6">
        <v>6.6395500410370303E-2</v>
      </c>
      <c r="AJ24" s="6">
        <v>4.7382539083783898E-2</v>
      </c>
      <c r="AK24" s="6">
        <v>0.16181007884813201</v>
      </c>
      <c r="AL24" s="5">
        <v>56.44</v>
      </c>
      <c r="AM24" s="5">
        <v>88.64</v>
      </c>
      <c r="AN24" s="5">
        <v>71.349999999999994</v>
      </c>
      <c r="AO24" s="5">
        <v>59.54</v>
      </c>
      <c r="AP24" s="5">
        <v>36.840000000000003</v>
      </c>
      <c r="AQ24" s="5">
        <v>36.450000000000003</v>
      </c>
      <c r="AR24" s="5">
        <v>52.26</v>
      </c>
      <c r="AS24" s="5">
        <v>49.3</v>
      </c>
      <c r="AT24" s="5">
        <v>68.8</v>
      </c>
      <c r="AU24" s="5">
        <v>40.840000000000003</v>
      </c>
      <c r="AV24" s="5">
        <v>65.540000000000006</v>
      </c>
      <c r="AW24" s="5">
        <v>12.94</v>
      </c>
      <c r="AX24" s="5">
        <v>68.989999999999995</v>
      </c>
      <c r="AY24" s="5">
        <v>43.71</v>
      </c>
      <c r="AZ24" s="5">
        <v>47.03</v>
      </c>
      <c r="BA24" s="5">
        <v>53.24</v>
      </c>
      <c r="BB24" s="51">
        <f t="shared" si="0"/>
        <v>911</v>
      </c>
    </row>
    <row r="25" spans="1:54" ht="12.75" customHeight="1" x14ac:dyDescent="0.25">
      <c r="A25" s="4" t="s">
        <v>88</v>
      </c>
      <c r="B25" s="5">
        <v>3.4713125491223473</v>
      </c>
      <c r="C25" s="6">
        <v>0.10165562913907285</v>
      </c>
      <c r="D25" s="5">
        <v>130.87577707492639</v>
      </c>
      <c r="E25" s="5">
        <v>11.7</v>
      </c>
      <c r="F25" s="6">
        <v>0.99149308436024697</v>
      </c>
      <c r="G25" s="6">
        <v>0.90862607279144481</v>
      </c>
      <c r="H25" s="6">
        <v>0.98868761218117918</v>
      </c>
      <c r="I25" s="6">
        <v>0.311546694889686</v>
      </c>
      <c r="J25" s="6">
        <v>0.88997957503886838</v>
      </c>
      <c r="K25" s="6">
        <v>9.2129218639502866E-2</v>
      </c>
      <c r="L25" s="5">
        <v>53.539331342300414</v>
      </c>
      <c r="M25" s="5">
        <v>10.870812059501866</v>
      </c>
      <c r="N25" s="6">
        <v>0.42411642411642414</v>
      </c>
      <c r="O25" s="7">
        <v>5.38</v>
      </c>
      <c r="P25" s="7">
        <v>4.3</v>
      </c>
      <c r="Q25" s="5">
        <v>13.314285714285717</v>
      </c>
      <c r="R25" s="6">
        <v>0.93463835933855943</v>
      </c>
      <c r="S25" s="6">
        <v>0.37155625103444123</v>
      </c>
      <c r="T25" s="5">
        <v>235.57305790612182</v>
      </c>
      <c r="U25" s="5">
        <v>397.58773014195259</v>
      </c>
      <c r="V25" s="5">
        <v>21.881291939896691</v>
      </c>
      <c r="W25" s="6">
        <v>0</v>
      </c>
      <c r="X25" s="8">
        <v>-0.10626386745586414</v>
      </c>
      <c r="Y25" s="6">
        <v>0.54014148734293366</v>
      </c>
      <c r="Z25" s="5">
        <v>32.123598805380247</v>
      </c>
      <c r="AA25" s="5">
        <v>28.4050632911392</v>
      </c>
      <c r="AB25" s="8">
        <v>0.19893309833184461</v>
      </c>
      <c r="AC25" s="6">
        <v>0.1900662251655629</v>
      </c>
      <c r="AD25" s="5">
        <v>9.7767474625070321</v>
      </c>
      <c r="AE25" s="5">
        <v>19.437710116506313</v>
      </c>
      <c r="AF25" s="5">
        <v>149.44456835546464</v>
      </c>
      <c r="AG25" s="5">
        <v>22.812410745849739</v>
      </c>
      <c r="AH25" s="6">
        <v>3.2483609736941664E-2</v>
      </c>
      <c r="AI25" s="6">
        <v>5.7623175293043699E-2</v>
      </c>
      <c r="AJ25" s="6">
        <v>4.5001577618847287E-2</v>
      </c>
      <c r="AK25" s="6">
        <v>0.13740718613979699</v>
      </c>
      <c r="AL25" s="5">
        <v>51.6</v>
      </c>
      <c r="AM25" s="5">
        <v>87.31</v>
      </c>
      <c r="AN25" s="5">
        <v>61.88</v>
      </c>
      <c r="AO25" s="5">
        <v>34.58</v>
      </c>
      <c r="AP25" s="5">
        <v>33.96</v>
      </c>
      <c r="AQ25" s="5">
        <v>26.54</v>
      </c>
      <c r="AR25" s="5">
        <v>45.51</v>
      </c>
      <c r="AS25" s="5">
        <v>9.15</v>
      </c>
      <c r="AT25" s="5">
        <v>48.38</v>
      </c>
      <c r="AU25" s="5">
        <v>47.58</v>
      </c>
      <c r="AV25" s="5">
        <v>41.52</v>
      </c>
      <c r="AW25" s="5">
        <v>10.97</v>
      </c>
      <c r="AX25" s="5">
        <v>58.84</v>
      </c>
      <c r="AY25" s="5">
        <v>28.79</v>
      </c>
      <c r="AZ25" s="5">
        <v>37.119999999999997</v>
      </c>
      <c r="BA25" s="5">
        <v>41.58</v>
      </c>
      <c r="BB25" s="51">
        <f t="shared" si="0"/>
        <v>819</v>
      </c>
    </row>
    <row r="26" spans="1:54" ht="12.75" customHeight="1" x14ac:dyDescent="0.25">
      <c r="A26" s="4" t="s">
        <v>89</v>
      </c>
      <c r="B26" s="5">
        <v>3.0137203584741061</v>
      </c>
      <c r="C26" s="6">
        <v>8.3863721452639456E-2</v>
      </c>
      <c r="D26" s="5">
        <v>64.532782653588029</v>
      </c>
      <c r="E26" s="5">
        <v>8.1</v>
      </c>
      <c r="F26" s="6">
        <v>0.888003400276272</v>
      </c>
      <c r="G26" s="6">
        <v>0.5343215386250133</v>
      </c>
      <c r="H26" s="6">
        <v>0.99404951652321749</v>
      </c>
      <c r="I26" s="6">
        <v>0.2254170931007034</v>
      </c>
      <c r="J26" s="6">
        <v>0.8424813162145145</v>
      </c>
      <c r="K26" s="6">
        <v>9.1562458865341576E-2</v>
      </c>
      <c r="L26" s="5">
        <v>17.129226095209393</v>
      </c>
      <c r="M26" s="5">
        <v>4.3567814198684767</v>
      </c>
      <c r="N26" s="6">
        <v>0.42909625275532692</v>
      </c>
      <c r="O26" s="7">
        <v>5.75</v>
      </c>
      <c r="P26" s="7">
        <v>4.6500000000000004</v>
      </c>
      <c r="Q26" s="5">
        <v>12.28</v>
      </c>
      <c r="R26" s="6">
        <v>0.93747531920494931</v>
      </c>
      <c r="S26" s="6">
        <v>0.30069764380676584</v>
      </c>
      <c r="T26" s="5">
        <v>234.59592260830254</v>
      </c>
      <c r="U26" s="5">
        <v>346.30826670749428</v>
      </c>
      <c r="V26" s="5">
        <v>17.87397505587067</v>
      </c>
      <c r="W26" s="6">
        <v>1E-4</v>
      </c>
      <c r="X26" s="8">
        <v>-1.4582144203901613E-2</v>
      </c>
      <c r="Y26" s="6">
        <v>0.11394249663408108</v>
      </c>
      <c r="Z26" s="5">
        <v>0</v>
      </c>
      <c r="AA26" s="5">
        <v>28.617647058823501</v>
      </c>
      <c r="AB26" s="8">
        <v>0.17198107809712396</v>
      </c>
      <c r="AC26" s="6">
        <v>0.15013103706476974</v>
      </c>
      <c r="AD26" s="5">
        <v>30.534707387112398</v>
      </c>
      <c r="AE26" s="5">
        <v>24.421273130768441</v>
      </c>
      <c r="AF26" s="5">
        <v>614.41789254555431</v>
      </c>
      <c r="AG26" s="5">
        <v>2.9789958426451117</v>
      </c>
      <c r="AH26" s="6">
        <v>3.1686079568529979E-2</v>
      </c>
      <c r="AI26" s="6">
        <v>5.4468490692980487E-2</v>
      </c>
      <c r="AJ26" s="6">
        <v>3.1973293768545998E-2</v>
      </c>
      <c r="AK26" s="6">
        <v>6.2665237584851693E-2</v>
      </c>
      <c r="AL26" s="5">
        <v>72.53</v>
      </c>
      <c r="AM26" s="5">
        <v>17.54</v>
      </c>
      <c r="AN26" s="5">
        <v>59.31</v>
      </c>
      <c r="AO26" s="5">
        <v>77.290000000000006</v>
      </c>
      <c r="AP26" s="5">
        <v>47.3</v>
      </c>
      <c r="AQ26" s="5">
        <v>22.15</v>
      </c>
      <c r="AR26" s="5">
        <v>50.98</v>
      </c>
      <c r="AS26" s="5">
        <v>40.94</v>
      </c>
      <c r="AT26" s="5">
        <v>81.59</v>
      </c>
      <c r="AU26" s="5">
        <v>46.9</v>
      </c>
      <c r="AV26" s="5">
        <v>55.34</v>
      </c>
      <c r="AW26" s="5">
        <v>5.68</v>
      </c>
      <c r="AX26" s="5">
        <v>56.67</v>
      </c>
      <c r="AY26" s="5">
        <v>40.340000000000003</v>
      </c>
      <c r="AZ26" s="5">
        <v>47.38</v>
      </c>
      <c r="BA26" s="5">
        <v>48.13</v>
      </c>
      <c r="BB26" s="51">
        <f t="shared" si="0"/>
        <v>800</v>
      </c>
    </row>
    <row r="27" spans="1:54" ht="12.75" customHeight="1" x14ac:dyDescent="0.25">
      <c r="A27" s="4" t="s">
        <v>101</v>
      </c>
      <c r="B27" s="5">
        <v>3.9934225980737605</v>
      </c>
      <c r="C27" s="6">
        <v>0.12945368171021376</v>
      </c>
      <c r="D27" s="5">
        <v>39.047247169074581</v>
      </c>
      <c r="E27" s="5">
        <v>22.5</v>
      </c>
      <c r="F27" s="6">
        <v>0.99543378995433796</v>
      </c>
      <c r="G27" s="6">
        <v>0.96057253249034069</v>
      </c>
      <c r="H27" s="6">
        <v>0.98867228661749207</v>
      </c>
      <c r="I27" s="6">
        <v>0.1222785156784883</v>
      </c>
      <c r="J27" s="6">
        <v>0.89762225213100044</v>
      </c>
      <c r="K27" s="6">
        <v>0.10933660933660934</v>
      </c>
      <c r="L27" s="5">
        <v>15.034200579285912</v>
      </c>
      <c r="M27" s="5">
        <v>4.1931003259487829</v>
      </c>
      <c r="N27" s="6">
        <v>0.35185185185185186</v>
      </c>
      <c r="O27" s="7">
        <v>5.3</v>
      </c>
      <c r="P27" s="7">
        <v>4.3</v>
      </c>
      <c r="Q27" s="5">
        <v>37.9</v>
      </c>
      <c r="R27" s="6">
        <v>0.92786942786942783</v>
      </c>
      <c r="S27" s="6">
        <v>0.37276237276237278</v>
      </c>
      <c r="T27" s="5">
        <v>316.07985014649563</v>
      </c>
      <c r="U27" s="5">
        <v>506.28719359748413</v>
      </c>
      <c r="V27" s="5">
        <v>30.768834970012847</v>
      </c>
      <c r="W27" s="6">
        <v>0</v>
      </c>
      <c r="X27" s="8">
        <v>4.8704614774623637E-5</v>
      </c>
      <c r="Y27" s="6">
        <v>0.46364634212427525</v>
      </c>
      <c r="Z27" s="5">
        <v>4.7368029222407664</v>
      </c>
      <c r="AA27" s="5">
        <v>30</v>
      </c>
      <c r="AB27" s="8">
        <v>0.20622585926992379</v>
      </c>
      <c r="AC27" s="6">
        <v>0.22921615201900236</v>
      </c>
      <c r="AD27" s="5">
        <v>44.754669047291415</v>
      </c>
      <c r="AE27" s="5">
        <v>4.5625918766562235</v>
      </c>
      <c r="AF27" s="5">
        <v>283.79627942816421</v>
      </c>
      <c r="AG27" s="5">
        <v>5.9724906410861847</v>
      </c>
      <c r="AH27" s="6">
        <v>3.4177735177324385E-2</v>
      </c>
      <c r="AI27" s="6">
        <v>3.2799536947713682E-2</v>
      </c>
      <c r="AJ27" s="6">
        <v>2.3749502454557515E-2</v>
      </c>
      <c r="AK27" s="6">
        <v>8.0530770990620004E-2</v>
      </c>
      <c r="AL27" s="5">
        <v>36.020000000000003</v>
      </c>
      <c r="AM27" s="5">
        <v>93.43</v>
      </c>
      <c r="AN27" s="5">
        <v>65.11</v>
      </c>
      <c r="AO27" s="5">
        <v>80.03</v>
      </c>
      <c r="AP27" s="5">
        <v>21.66</v>
      </c>
      <c r="AQ27" s="5">
        <v>23.5</v>
      </c>
      <c r="AR27" s="5">
        <v>28.37</v>
      </c>
      <c r="AS27" s="5">
        <v>45.97</v>
      </c>
      <c r="AT27" s="5">
        <v>70.06</v>
      </c>
      <c r="AU27" s="5">
        <v>21.23</v>
      </c>
      <c r="AV27" s="5">
        <v>63.6</v>
      </c>
      <c r="AW27" s="5">
        <v>4.5</v>
      </c>
      <c r="AX27" s="5">
        <v>68.650000000000006</v>
      </c>
      <c r="AY27" s="5">
        <v>29.88</v>
      </c>
      <c r="AZ27" s="5">
        <v>39.85</v>
      </c>
      <c r="BA27" s="5">
        <v>46.12</v>
      </c>
      <c r="BB27" s="51">
        <f t="shared" si="0"/>
        <v>741</v>
      </c>
    </row>
    <row r="28" spans="1:54" ht="12.75" customHeight="1" x14ac:dyDescent="0.25">
      <c r="A28" s="4" t="s">
        <v>80</v>
      </c>
      <c r="B28" s="5">
        <v>2.8007678509613871</v>
      </c>
      <c r="C28" s="6">
        <v>9.0278897307754319E-2</v>
      </c>
      <c r="D28" s="5">
        <v>110.47398600662845</v>
      </c>
      <c r="E28" s="5">
        <v>7.5</v>
      </c>
      <c r="F28" s="6">
        <v>0.98107426419652199</v>
      </c>
      <c r="G28" s="6">
        <v>0.76143448373860989</v>
      </c>
      <c r="H28" s="6">
        <v>0.99251318851134118</v>
      </c>
      <c r="I28" s="6">
        <v>0.12558678439438423</v>
      </c>
      <c r="J28" s="6">
        <v>0.88130787615525119</v>
      </c>
      <c r="K28" s="6">
        <v>9.6951299986802159E-2</v>
      </c>
      <c r="L28" s="5">
        <v>25.899442307869627</v>
      </c>
      <c r="M28" s="5">
        <v>3.716444245731195</v>
      </c>
      <c r="N28" s="6">
        <v>0.44108072916666663</v>
      </c>
      <c r="O28" s="7">
        <v>5.56</v>
      </c>
      <c r="P28" s="7">
        <v>4.38</v>
      </c>
      <c r="Q28" s="5">
        <v>13.93125</v>
      </c>
      <c r="R28" s="6">
        <v>0.93001627733051784</v>
      </c>
      <c r="S28" s="6">
        <v>0.30423650521314505</v>
      </c>
      <c r="T28" s="5">
        <v>246.67332916524376</v>
      </c>
      <c r="U28" s="5">
        <v>359.82623245205281</v>
      </c>
      <c r="V28" s="5">
        <v>19.613169903046902</v>
      </c>
      <c r="W28" s="6">
        <v>1.6000000000000001E-3</v>
      </c>
      <c r="X28" s="8">
        <v>-4.4199781187402011E-2</v>
      </c>
      <c r="Y28" s="6">
        <v>0.38694342515246616</v>
      </c>
      <c r="Z28" s="5">
        <v>6.286272404822725</v>
      </c>
      <c r="AA28" s="5">
        <v>24.128205128205099</v>
      </c>
      <c r="AB28" s="8">
        <v>0.18627533734418197</v>
      </c>
      <c r="AC28" s="6">
        <v>0.17733354828308884</v>
      </c>
      <c r="AD28" s="5">
        <v>28.916853062184536</v>
      </c>
      <c r="AE28" s="5">
        <v>6.417417213955801</v>
      </c>
      <c r="AF28" s="5">
        <v>279.61339656651484</v>
      </c>
      <c r="AG28" s="5">
        <v>7.2920759895943617</v>
      </c>
      <c r="AH28" s="6">
        <v>3.12617017697146E-2</v>
      </c>
      <c r="AI28" s="6">
        <v>4.6388534127997733E-2</v>
      </c>
      <c r="AJ28" s="6">
        <v>3.4059975493253306E-2</v>
      </c>
      <c r="AK28" s="6">
        <v>7.9812758750470503E-2</v>
      </c>
      <c r="AL28" s="5">
        <v>66.11</v>
      </c>
      <c r="AM28" s="5">
        <v>71.209999999999994</v>
      </c>
      <c r="AN28" s="5">
        <v>65.72</v>
      </c>
      <c r="AO28" s="5">
        <v>68.06</v>
      </c>
      <c r="AP28" s="5">
        <v>38.72</v>
      </c>
      <c r="AQ28" s="5">
        <v>18.98</v>
      </c>
      <c r="AR28" s="5">
        <v>46.77</v>
      </c>
      <c r="AS28" s="5">
        <v>31.17</v>
      </c>
      <c r="AT28" s="5">
        <v>80.06</v>
      </c>
      <c r="AU28" s="5">
        <v>37.840000000000003</v>
      </c>
      <c r="AV28" s="5">
        <v>63.88</v>
      </c>
      <c r="AW28" s="5">
        <v>6.31</v>
      </c>
      <c r="AX28" s="5">
        <v>67.78</v>
      </c>
      <c r="AY28" s="5">
        <v>33.909999999999997</v>
      </c>
      <c r="AZ28" s="5">
        <v>47.02</v>
      </c>
      <c r="BA28" s="5">
        <v>49.57</v>
      </c>
      <c r="BB28" s="51">
        <f t="shared" si="0"/>
        <v>740</v>
      </c>
    </row>
    <row r="29" spans="1:54" ht="12.75" customHeight="1" x14ac:dyDescent="0.25">
      <c r="A29" s="4" t="s">
        <v>45</v>
      </c>
      <c r="B29" s="5">
        <v>1.8260671079662179</v>
      </c>
      <c r="C29" s="6">
        <v>8.0239520958083829E-2</v>
      </c>
      <c r="D29" s="5">
        <v>38.446751249519416</v>
      </c>
      <c r="E29" s="5">
        <v>6.32</v>
      </c>
      <c r="F29" s="6">
        <v>0.99731920597434098</v>
      </c>
      <c r="G29" s="6">
        <v>0.93974596285185419</v>
      </c>
      <c r="H29" s="6">
        <v>0.94261824216506029</v>
      </c>
      <c r="I29" s="6">
        <v>4.1015946079237219E-2</v>
      </c>
      <c r="J29" s="6">
        <v>0.91121251629726208</v>
      </c>
      <c r="K29" s="6">
        <v>0.10195784074560581</v>
      </c>
      <c r="L29" s="5">
        <v>43.236003920621073</v>
      </c>
      <c r="M29" s="5">
        <v>28.175558370385488</v>
      </c>
      <c r="N29" s="6">
        <v>0.51236749116607772</v>
      </c>
      <c r="O29" s="7">
        <v>5.43</v>
      </c>
      <c r="P29" s="7">
        <v>5.07</v>
      </c>
      <c r="Q29" s="5">
        <v>19.074999999999999</v>
      </c>
      <c r="R29" s="6">
        <v>0.93044348533183208</v>
      </c>
      <c r="S29" s="6">
        <v>0.32351285419403264</v>
      </c>
      <c r="T29" s="5">
        <v>244.86354319078612</v>
      </c>
      <c r="U29" s="5">
        <v>713.87140668698419</v>
      </c>
      <c r="V29" s="5">
        <v>28.253485752783014</v>
      </c>
      <c r="W29" s="6">
        <v>0</v>
      </c>
      <c r="X29" s="8">
        <v>6.3650589072255723E-2</v>
      </c>
      <c r="Y29" s="6">
        <v>0.57996806493427577</v>
      </c>
      <c r="Z29" s="5">
        <v>24.453761977907416</v>
      </c>
      <c r="AA29" s="5">
        <v>42.941176470588204</v>
      </c>
      <c r="AB29" s="8">
        <v>0.23632445461176688</v>
      </c>
      <c r="AC29" s="6">
        <v>0.17604790419161676</v>
      </c>
      <c r="AD29" s="5">
        <v>3.7671314337044022</v>
      </c>
      <c r="AE29" s="5">
        <v>14.889092089239643</v>
      </c>
      <c r="AF29" s="5">
        <v>340.93897489240311</v>
      </c>
      <c r="AG29" s="5">
        <v>9.8247801774958354</v>
      </c>
      <c r="AH29" s="6">
        <v>4.5372349169817527E-2</v>
      </c>
      <c r="AI29" s="6">
        <v>3.8844621513944223E-2</v>
      </c>
      <c r="AJ29" s="6">
        <v>2.1045877446262431E-2</v>
      </c>
      <c r="AK29" s="6">
        <v>9.8068350668647802E-2</v>
      </c>
      <c r="AL29" s="5">
        <v>84.62</v>
      </c>
      <c r="AM29" s="5">
        <v>80.8</v>
      </c>
      <c r="AN29" s="5">
        <v>70.73</v>
      </c>
      <c r="AO29" s="5">
        <v>6.01</v>
      </c>
      <c r="AP29" s="5">
        <v>48.56</v>
      </c>
      <c r="AQ29" s="5">
        <v>20.73</v>
      </c>
      <c r="AR29" s="5">
        <v>28.42</v>
      </c>
      <c r="AS29" s="5">
        <v>49.3</v>
      </c>
      <c r="AT29" s="5">
        <v>31.19</v>
      </c>
      <c r="AU29" s="5">
        <v>51.44</v>
      </c>
      <c r="AV29" s="5">
        <v>45.95</v>
      </c>
      <c r="AW29" s="5">
        <v>5.43</v>
      </c>
      <c r="AX29" s="5">
        <v>60.54</v>
      </c>
      <c r="AY29" s="5">
        <v>36.75</v>
      </c>
      <c r="AZ29" s="5">
        <v>33.5</v>
      </c>
      <c r="BA29" s="5">
        <v>43.6</v>
      </c>
      <c r="BB29" s="51">
        <f t="shared" si="0"/>
        <v>733</v>
      </c>
    </row>
    <row r="30" spans="1:54" ht="12.75" customHeight="1" x14ac:dyDescent="0.25">
      <c r="A30" s="4" t="s">
        <v>96</v>
      </c>
      <c r="B30" s="5">
        <v>2.9591836734693877</v>
      </c>
      <c r="C30" s="6">
        <v>0.10138248847926268</v>
      </c>
      <c r="D30" s="5">
        <v>65.760631302060503</v>
      </c>
      <c r="E30" s="5">
        <v>1.96</v>
      </c>
      <c r="F30" s="6">
        <v>0.99863410893580296</v>
      </c>
      <c r="G30" s="6">
        <v>0.9255229924995807</v>
      </c>
      <c r="H30" s="6">
        <v>0.95145095971819516</v>
      </c>
      <c r="I30" s="6">
        <v>0.10135624566540803</v>
      </c>
      <c r="J30" s="6">
        <v>0.93083768620622942</v>
      </c>
      <c r="K30" s="6">
        <v>0.11300557963552767</v>
      </c>
      <c r="L30" s="5">
        <v>39.774417610312234</v>
      </c>
      <c r="M30" s="5">
        <v>10.762687748281945</v>
      </c>
      <c r="N30" s="6">
        <v>0.45454545454545459</v>
      </c>
      <c r="O30" s="7">
        <v>5.14</v>
      </c>
      <c r="P30" s="7">
        <v>3.87</v>
      </c>
      <c r="Q30" s="5">
        <v>9.3000000000000007</v>
      </c>
      <c r="R30" s="6">
        <v>0.92109485380397038</v>
      </c>
      <c r="S30" s="6">
        <v>0.3102564716588041</v>
      </c>
      <c r="T30" s="5">
        <v>110.94930764829836</v>
      </c>
      <c r="U30" s="5">
        <v>34.082467055359622</v>
      </c>
      <c r="V30" s="5">
        <v>13.052859723329219</v>
      </c>
      <c r="W30" s="6">
        <v>0</v>
      </c>
      <c r="X30" s="8">
        <v>3.7325655649082185E-6</v>
      </c>
      <c r="Y30" s="6">
        <v>0.43197597702487345</v>
      </c>
      <c r="Z30" s="5">
        <v>14.831138769946932</v>
      </c>
      <c r="AA30" s="5">
        <v>27.785714285714299</v>
      </c>
      <c r="AB30" s="8">
        <v>0.20845582740110447</v>
      </c>
      <c r="AC30" s="6">
        <v>0.19700460829493088</v>
      </c>
      <c r="AD30" s="5">
        <v>9.4270653557377688</v>
      </c>
      <c r="AE30" s="5">
        <v>19.583352061887368</v>
      </c>
      <c r="AF30" s="5">
        <v>195.16430335907444</v>
      </c>
      <c r="AG30" s="5">
        <v>11.797496748821425</v>
      </c>
      <c r="AH30" s="6">
        <v>4.0379132311011791E-2</v>
      </c>
      <c r="AI30" s="6">
        <v>1.8393377831212084E-2</v>
      </c>
      <c r="AJ30" s="6">
        <v>1.2183999438740909E-2</v>
      </c>
      <c r="AK30" s="6">
        <v>7.6140390991197002E-2</v>
      </c>
      <c r="AL30" s="5">
        <v>67.5</v>
      </c>
      <c r="AM30" s="5">
        <v>82.18</v>
      </c>
      <c r="AN30" s="5">
        <v>68.78</v>
      </c>
      <c r="AO30" s="5">
        <v>39.74</v>
      </c>
      <c r="AP30" s="5">
        <v>32.83</v>
      </c>
      <c r="AQ30" s="5">
        <v>15.34</v>
      </c>
      <c r="AR30" s="5">
        <v>87.02</v>
      </c>
      <c r="AS30" s="5">
        <v>45.95</v>
      </c>
      <c r="AT30" s="5">
        <v>61.47</v>
      </c>
      <c r="AU30" s="5">
        <v>46.55</v>
      </c>
      <c r="AV30" s="5">
        <v>53.25</v>
      </c>
      <c r="AW30" s="5">
        <v>2.2599999999999998</v>
      </c>
      <c r="AX30" s="5">
        <v>64.55</v>
      </c>
      <c r="AY30" s="5">
        <v>45.29</v>
      </c>
      <c r="AZ30" s="5">
        <v>40.880000000000003</v>
      </c>
      <c r="BA30" s="5">
        <v>50.24</v>
      </c>
      <c r="BB30" s="51">
        <f t="shared" si="0"/>
        <v>659</v>
      </c>
    </row>
    <row r="31" spans="1:54" ht="12.75" customHeight="1" x14ac:dyDescent="0.25">
      <c r="A31" s="4" t="s">
        <v>90</v>
      </c>
      <c r="B31" s="5">
        <v>1.7985611510791368</v>
      </c>
      <c r="C31" s="6">
        <v>7.6550387596899222E-2</v>
      </c>
      <c r="D31" s="5">
        <v>62.015503875968996</v>
      </c>
      <c r="E31" s="5">
        <v>9.52</v>
      </c>
      <c r="F31" s="6">
        <v>0.98687978118722997</v>
      </c>
      <c r="G31" s="6">
        <v>0.84195905807940508</v>
      </c>
      <c r="H31" s="6">
        <v>0.98256335740843626</v>
      </c>
      <c r="I31" s="6">
        <v>0.99992790818386301</v>
      </c>
      <c r="J31" s="6">
        <v>0.91049181751096064</v>
      </c>
      <c r="K31" s="6">
        <v>0.10959665014527431</v>
      </c>
      <c r="L31" s="5">
        <v>23.68833467013032</v>
      </c>
      <c r="M31" s="5">
        <v>0.42112594969120565</v>
      </c>
      <c r="N31" s="6">
        <v>0.34862385321100919</v>
      </c>
      <c r="O31" s="7">
        <v>6.07</v>
      </c>
      <c r="P31" s="7">
        <v>5.25</v>
      </c>
      <c r="Q31" s="5">
        <v>14.95</v>
      </c>
      <c r="R31" s="6">
        <v>0.92390189711160486</v>
      </c>
      <c r="S31" s="6">
        <v>0.40343531020338402</v>
      </c>
      <c r="T31" s="5">
        <v>126.33778490736172</v>
      </c>
      <c r="U31" s="5">
        <v>201.35084469610774</v>
      </c>
      <c r="V31" s="5">
        <v>13.160185927850177</v>
      </c>
      <c r="W31" s="6">
        <v>0</v>
      </c>
      <c r="X31" s="8">
        <v>-1.1133580806290023E-2</v>
      </c>
      <c r="Y31" s="6">
        <v>0.7533752997299431</v>
      </c>
      <c r="Z31" s="5">
        <v>21.056297484560282</v>
      </c>
      <c r="AA31" s="5">
        <v>30.714285714285701</v>
      </c>
      <c r="AB31" s="8">
        <v>0.25622093326805712</v>
      </c>
      <c r="AC31" s="6">
        <v>0.18798449612403101</v>
      </c>
      <c r="AD31" s="5">
        <v>11.84416733506516</v>
      </c>
      <c r="AE31" s="5">
        <v>2.1466205403953467</v>
      </c>
      <c r="AF31" s="5">
        <v>198.71880751053769</v>
      </c>
      <c r="AG31" s="5">
        <v>10.528148742280141</v>
      </c>
      <c r="AH31" s="6">
        <v>4.2880212238306709E-2</v>
      </c>
      <c r="AI31" s="6">
        <v>1.9186213000807018E-2</v>
      </c>
      <c r="AJ31" s="6">
        <v>2.1588183310188108E-2</v>
      </c>
      <c r="AK31" s="6">
        <v>4.6374285990899398E-2</v>
      </c>
      <c r="AL31" s="5">
        <v>81.98</v>
      </c>
      <c r="AM31" s="5">
        <v>78.11</v>
      </c>
      <c r="AN31" s="5">
        <v>39.03</v>
      </c>
      <c r="AO31" s="5">
        <v>76.27</v>
      </c>
      <c r="AP31" s="5">
        <v>54.89</v>
      </c>
      <c r="AQ31" s="5">
        <v>24.13</v>
      </c>
      <c r="AR31" s="5">
        <v>79.17</v>
      </c>
      <c r="AS31" s="5">
        <v>42.1</v>
      </c>
      <c r="AT31" s="5">
        <v>40.96</v>
      </c>
      <c r="AU31" s="5">
        <v>42.28</v>
      </c>
      <c r="AV31" s="5">
        <v>53.23</v>
      </c>
      <c r="AW31" s="5">
        <v>1.81</v>
      </c>
      <c r="AX31" s="5">
        <v>68.849999999999994</v>
      </c>
      <c r="AY31" s="5">
        <v>50.07</v>
      </c>
      <c r="AZ31" s="5">
        <v>34.57</v>
      </c>
      <c r="BA31" s="5">
        <v>51.16</v>
      </c>
      <c r="BB31" s="51">
        <f t="shared" si="0"/>
        <v>657</v>
      </c>
    </row>
    <row r="32" spans="1:54" ht="12.75" customHeight="1" x14ac:dyDescent="0.25">
      <c r="A32" s="4" t="s">
        <v>91</v>
      </c>
      <c r="B32" s="5">
        <v>7.834757834757835</v>
      </c>
      <c r="C32" s="6">
        <v>8.3333333333333329E-2</v>
      </c>
      <c r="D32" s="5">
        <v>0</v>
      </c>
      <c r="E32" s="5">
        <v>9.57</v>
      </c>
      <c r="F32" s="6">
        <v>0.98598995506211995</v>
      </c>
      <c r="G32" s="6">
        <v>0.94633888448321435</v>
      </c>
      <c r="H32" s="6">
        <v>0.97656181161335798</v>
      </c>
      <c r="I32" s="6">
        <v>0.88482782314543196</v>
      </c>
      <c r="J32" s="6">
        <v>0.81810115350488022</v>
      </c>
      <c r="K32" s="6">
        <v>0.15886699507389163</v>
      </c>
      <c r="L32" s="5">
        <v>28.217448251030817</v>
      </c>
      <c r="M32" s="5">
        <v>9.8312154929159643</v>
      </c>
      <c r="N32" s="6">
        <v>0.25510204081632648</v>
      </c>
      <c r="O32" s="7">
        <v>4.8</v>
      </c>
      <c r="P32" s="7">
        <v>4.45</v>
      </c>
      <c r="Q32" s="5">
        <v>23.575000000000003</v>
      </c>
      <c r="R32" s="6">
        <v>0.89127375087966221</v>
      </c>
      <c r="S32" s="6">
        <v>0.29108022519352567</v>
      </c>
      <c r="T32" s="5">
        <v>129.72891637512541</v>
      </c>
      <c r="U32" s="5">
        <v>57.080723205055172</v>
      </c>
      <c r="V32" s="5">
        <v>31.134939930030093</v>
      </c>
      <c r="W32" s="6">
        <v>0</v>
      </c>
      <c r="X32" s="8">
        <v>-6.7958497750026884E-3</v>
      </c>
      <c r="Y32" s="6">
        <v>0.88472644758179042</v>
      </c>
      <c r="Z32" s="5">
        <v>12.184807199308763</v>
      </c>
      <c r="AA32" s="5">
        <v>20.858490566037698</v>
      </c>
      <c r="AB32" s="8">
        <v>0.20845582740110447</v>
      </c>
      <c r="AC32" s="6">
        <v>0.26851851851851855</v>
      </c>
      <c r="AD32" s="5">
        <v>0</v>
      </c>
      <c r="AE32" s="5">
        <v>0</v>
      </c>
      <c r="AF32" s="5">
        <v>166.73946693790938</v>
      </c>
      <c r="AG32" s="5">
        <v>10.260890273102115</v>
      </c>
      <c r="AH32" s="6">
        <v>3.5043209387140249E-2</v>
      </c>
      <c r="AI32" s="6">
        <v>1.1345143441670154E-2</v>
      </c>
      <c r="AJ32" s="6">
        <v>1.4383855732073852E-2</v>
      </c>
      <c r="AK32" s="6">
        <v>8.1006685017695604E-2</v>
      </c>
      <c r="AL32" s="5">
        <v>62.92</v>
      </c>
      <c r="AM32" s="5">
        <v>85.73</v>
      </c>
      <c r="AN32" s="5">
        <v>21.95</v>
      </c>
      <c r="AO32" s="5">
        <v>54.92</v>
      </c>
      <c r="AP32" s="5">
        <v>15.97</v>
      </c>
      <c r="AQ32" s="5">
        <v>0</v>
      </c>
      <c r="AR32" s="5">
        <v>65.98</v>
      </c>
      <c r="AS32" s="5">
        <v>43.6</v>
      </c>
      <c r="AT32" s="5">
        <v>76.45</v>
      </c>
      <c r="AU32" s="5">
        <v>32.67</v>
      </c>
      <c r="AV32" s="5">
        <v>60.2</v>
      </c>
      <c r="AW32" s="5">
        <v>2.34</v>
      </c>
      <c r="AX32" s="5">
        <v>56.38</v>
      </c>
      <c r="AY32" s="5">
        <v>31.39</v>
      </c>
      <c r="AZ32" s="5">
        <v>42.92</v>
      </c>
      <c r="BA32" s="5">
        <v>43.56</v>
      </c>
      <c r="BB32" s="51">
        <f t="shared" si="0"/>
        <v>586</v>
      </c>
    </row>
    <row r="33" spans="1:54" ht="12.75" customHeight="1" x14ac:dyDescent="0.25">
      <c r="A33" s="26" t="s">
        <v>93</v>
      </c>
      <c r="B33" s="27">
        <v>3.4955633234740522</v>
      </c>
      <c r="C33" s="28">
        <v>6.6780821917808222E-2</v>
      </c>
      <c r="D33" s="27">
        <v>0</v>
      </c>
      <c r="E33" s="27">
        <v>8.6</v>
      </c>
      <c r="F33" s="28">
        <v>0.99690991205134305</v>
      </c>
      <c r="G33" s="28">
        <v>0.94532921321606844</v>
      </c>
      <c r="H33" s="28">
        <v>0.99030187782267654</v>
      </c>
      <c r="I33" s="28">
        <v>0.87459323431149938</v>
      </c>
      <c r="J33" s="28">
        <v>0.6564086782581936</v>
      </c>
      <c r="K33" s="28">
        <v>8.8797035347776512E-2</v>
      </c>
      <c r="L33" s="27">
        <v>26.670406217143519</v>
      </c>
      <c r="M33" s="27">
        <v>0.44918578892031197</v>
      </c>
      <c r="N33" s="28">
        <v>0.41463414634146345</v>
      </c>
      <c r="O33" s="29">
        <v>5.2</v>
      </c>
      <c r="P33" s="29">
        <v>4.83</v>
      </c>
      <c r="Q33" s="27">
        <v>17.466666666666669</v>
      </c>
      <c r="R33" s="28">
        <v>0.91671417711896619</v>
      </c>
      <c r="S33" s="28">
        <v>0.30454199923983277</v>
      </c>
      <c r="T33" s="27">
        <v>96.855685735942259</v>
      </c>
      <c r="U33" s="27">
        <v>1779.8986885967361</v>
      </c>
      <c r="V33" s="27">
        <v>11.229644723007798</v>
      </c>
      <c r="W33" s="28">
        <v>0</v>
      </c>
      <c r="X33" s="30">
        <v>-5.2311036614134127E-3</v>
      </c>
      <c r="Y33" s="28">
        <v>0.15980763764619266</v>
      </c>
      <c r="Z33" s="29">
        <v>14.037055903759748</v>
      </c>
      <c r="AA33" s="27">
        <v>25.679245283018901</v>
      </c>
      <c r="AB33" s="30">
        <v>0.20845582740110447</v>
      </c>
      <c r="AC33" s="28">
        <v>0.22602739726027396</v>
      </c>
      <c r="AD33" s="27">
        <v>74.39639628992667</v>
      </c>
      <c r="AE33" s="27">
        <v>56.817366800206187</v>
      </c>
      <c r="AF33" s="27">
        <v>71.588985109174715</v>
      </c>
      <c r="AG33" s="27">
        <v>14.037055903759748</v>
      </c>
      <c r="AH33" s="28">
        <v>4.0944130280722559E-2</v>
      </c>
      <c r="AI33" s="28">
        <v>1.6352037495117822E-2</v>
      </c>
      <c r="AJ33" s="28">
        <v>1.4486477975042317E-2</v>
      </c>
      <c r="AK33" s="28">
        <v>3.8886948422400702E-2</v>
      </c>
      <c r="AL33" s="27">
        <v>81.239999999999995</v>
      </c>
      <c r="AM33" s="27">
        <v>92.98</v>
      </c>
      <c r="AN33" s="27">
        <v>18.440000000000001</v>
      </c>
      <c r="AO33" s="27">
        <v>72.72</v>
      </c>
      <c r="AP33" s="27">
        <v>35.76</v>
      </c>
      <c r="AQ33" s="27">
        <v>12.85</v>
      </c>
      <c r="AR33" s="27">
        <v>67.790000000000006</v>
      </c>
      <c r="AS33" s="27">
        <v>44.14</v>
      </c>
      <c r="AT33" s="27">
        <v>61.22</v>
      </c>
      <c r="AU33" s="27">
        <v>28.63</v>
      </c>
      <c r="AV33" s="27">
        <v>49.4</v>
      </c>
      <c r="AW33" s="27">
        <v>0.52</v>
      </c>
      <c r="AX33" s="27">
        <v>66.34</v>
      </c>
      <c r="AY33" s="27">
        <v>40.130000000000003</v>
      </c>
      <c r="AZ33" s="27">
        <v>34.94</v>
      </c>
      <c r="BA33" s="27">
        <v>47.14</v>
      </c>
      <c r="BB33" s="51">
        <f t="shared" si="0"/>
        <v>564</v>
      </c>
    </row>
    <row r="34" spans="1:54" ht="12.75" customHeight="1" x14ac:dyDescent="0.25"/>
    <row r="35" spans="1:54" ht="12.75" customHeight="1" x14ac:dyDescent="0.25"/>
    <row r="36" spans="1:54" ht="12.75" customHeight="1" x14ac:dyDescent="0.25"/>
    <row r="37" spans="1:54" ht="12.75" customHeight="1" x14ac:dyDescent="0.25">
      <c r="A37" s="52" t="s">
        <v>63</v>
      </c>
      <c r="B37" s="53">
        <v>8244</v>
      </c>
    </row>
    <row r="38" spans="1:54" ht="12.75" customHeight="1" x14ac:dyDescent="0.25">
      <c r="A38" s="54" t="s">
        <v>60</v>
      </c>
      <c r="B38" s="53">
        <v>5523</v>
      </c>
    </row>
    <row r="39" spans="1:54" ht="12.75" customHeight="1" x14ac:dyDescent="0.25">
      <c r="A39" s="54" t="s">
        <v>87</v>
      </c>
      <c r="B39" s="53">
        <v>5446</v>
      </c>
    </row>
    <row r="40" spans="1:54" ht="12.75" customHeight="1" x14ac:dyDescent="0.25">
      <c r="A40" s="54" t="s">
        <v>62</v>
      </c>
      <c r="B40" s="53">
        <v>5240</v>
      </c>
    </row>
    <row r="41" spans="1:54" ht="12.75" customHeight="1" x14ac:dyDescent="0.25">
      <c r="A41" s="54" t="s">
        <v>65</v>
      </c>
      <c r="B41" s="53">
        <v>4371</v>
      </c>
    </row>
    <row r="42" spans="1:54" ht="12.75" customHeight="1" x14ac:dyDescent="0.25">
      <c r="A42" s="54" t="s">
        <v>66</v>
      </c>
      <c r="B42" s="53">
        <v>3361</v>
      </c>
    </row>
    <row r="43" spans="1:54" ht="12.75" customHeight="1" x14ac:dyDescent="0.25">
      <c r="A43" s="54" t="s">
        <v>47</v>
      </c>
      <c r="B43" s="53">
        <v>2229</v>
      </c>
    </row>
    <row r="44" spans="1:54" ht="12.75" customHeight="1" x14ac:dyDescent="0.25">
      <c r="A44" s="54" t="s">
        <v>70</v>
      </c>
      <c r="B44" s="53">
        <v>1966</v>
      </c>
    </row>
    <row r="45" spans="1:54" ht="12.75" customHeight="1" x14ac:dyDescent="0.25">
      <c r="A45" s="54" t="s">
        <v>81</v>
      </c>
      <c r="B45" s="53">
        <v>1943</v>
      </c>
    </row>
    <row r="46" spans="1:54" ht="12.75" customHeight="1" x14ac:dyDescent="0.25">
      <c r="A46" s="54" t="s">
        <v>73</v>
      </c>
      <c r="B46" s="53">
        <v>1840</v>
      </c>
    </row>
    <row r="47" spans="1:54" ht="12.75" customHeight="1" x14ac:dyDescent="0.25">
      <c r="A47" s="54" t="s">
        <v>85</v>
      </c>
      <c r="B47" s="53">
        <v>1839</v>
      </c>
    </row>
    <row r="48" spans="1:54" ht="12.75" customHeight="1" x14ac:dyDescent="0.25">
      <c r="A48" s="54" t="s">
        <v>59</v>
      </c>
      <c r="B48" s="53">
        <v>1710</v>
      </c>
    </row>
    <row r="49" spans="1:2" ht="12.75" customHeight="1" x14ac:dyDescent="0.25">
      <c r="A49" s="54" t="s">
        <v>71</v>
      </c>
      <c r="B49" s="53">
        <v>1517</v>
      </c>
    </row>
    <row r="50" spans="1:2" ht="12.75" customHeight="1" x14ac:dyDescent="0.25">
      <c r="A50" s="54" t="s">
        <v>67</v>
      </c>
      <c r="B50" s="53">
        <v>1296</v>
      </c>
    </row>
    <row r="51" spans="1:2" ht="12.75" customHeight="1" x14ac:dyDescent="0.25">
      <c r="A51" s="54" t="s">
        <v>72</v>
      </c>
      <c r="B51" s="53">
        <v>1260</v>
      </c>
    </row>
    <row r="52" spans="1:2" ht="12.75" customHeight="1" x14ac:dyDescent="0.25">
      <c r="A52" s="54" t="s">
        <v>99</v>
      </c>
      <c r="B52" s="53">
        <v>1234</v>
      </c>
    </row>
    <row r="53" spans="1:2" ht="12.75" customHeight="1" x14ac:dyDescent="0.25">
      <c r="A53" s="54" t="s">
        <v>69</v>
      </c>
      <c r="B53" s="53">
        <v>1230</v>
      </c>
    </row>
    <row r="54" spans="1:2" ht="12.75" customHeight="1" x14ac:dyDescent="0.25">
      <c r="A54" s="54" t="s">
        <v>68</v>
      </c>
      <c r="B54" s="53">
        <v>1180</v>
      </c>
    </row>
    <row r="55" spans="1:2" ht="12.75" customHeight="1" x14ac:dyDescent="0.25">
      <c r="A55" s="54" t="s">
        <v>77</v>
      </c>
      <c r="B55" s="53">
        <v>1086</v>
      </c>
    </row>
    <row r="56" spans="1:2" ht="12.75" customHeight="1" x14ac:dyDescent="0.25">
      <c r="A56" s="54" t="s">
        <v>64</v>
      </c>
      <c r="B56" s="53">
        <v>1067</v>
      </c>
    </row>
    <row r="57" spans="1:2" ht="12.75" customHeight="1" x14ac:dyDescent="0.25">
      <c r="A57" s="54" t="s">
        <v>82</v>
      </c>
      <c r="B57" s="53">
        <v>978</v>
      </c>
    </row>
    <row r="58" spans="1:2" ht="12.75" customHeight="1" x14ac:dyDescent="0.25">
      <c r="A58" s="54" t="s">
        <v>75</v>
      </c>
      <c r="B58" s="53">
        <v>969</v>
      </c>
    </row>
    <row r="59" spans="1:2" ht="12.75" customHeight="1" x14ac:dyDescent="0.25">
      <c r="A59" s="54" t="s">
        <v>97</v>
      </c>
      <c r="B59" s="53">
        <v>911</v>
      </c>
    </row>
    <row r="60" spans="1:2" ht="12.75" customHeight="1" x14ac:dyDescent="0.25">
      <c r="A60" s="54" t="s">
        <v>88</v>
      </c>
      <c r="B60" s="53">
        <v>819</v>
      </c>
    </row>
    <row r="61" spans="1:2" ht="12.75" customHeight="1" x14ac:dyDescent="0.25">
      <c r="A61" s="54" t="s">
        <v>89</v>
      </c>
      <c r="B61" s="53">
        <v>800</v>
      </c>
    </row>
    <row r="62" spans="1:2" ht="12.75" customHeight="1" x14ac:dyDescent="0.25">
      <c r="A62" s="54" t="s">
        <v>101</v>
      </c>
      <c r="B62" s="53">
        <v>741</v>
      </c>
    </row>
    <row r="63" spans="1:2" ht="12.75" customHeight="1" x14ac:dyDescent="0.25">
      <c r="A63" s="54" t="s">
        <v>80</v>
      </c>
      <c r="B63" s="53">
        <v>740</v>
      </c>
    </row>
    <row r="64" spans="1:2" ht="12.75" customHeight="1" x14ac:dyDescent="0.25">
      <c r="A64" s="54" t="s">
        <v>45</v>
      </c>
      <c r="B64" s="53">
        <v>733</v>
      </c>
    </row>
    <row r="65" spans="1:2" ht="12.75" customHeight="1" x14ac:dyDescent="0.25">
      <c r="A65" s="54" t="s">
        <v>96</v>
      </c>
      <c r="B65" s="53">
        <v>659</v>
      </c>
    </row>
    <row r="66" spans="1:2" ht="12.75" customHeight="1" x14ac:dyDescent="0.25">
      <c r="A66" s="54" t="s">
        <v>90</v>
      </c>
      <c r="B66" s="53">
        <v>657</v>
      </c>
    </row>
    <row r="67" spans="1:2" ht="12.75" customHeight="1" x14ac:dyDescent="0.25">
      <c r="A67" s="54" t="s">
        <v>91</v>
      </c>
      <c r="B67" s="53">
        <v>586</v>
      </c>
    </row>
    <row r="68" spans="1:2" ht="12.75" customHeight="1" x14ac:dyDescent="0.25">
      <c r="A68" s="54" t="s">
        <v>93</v>
      </c>
      <c r="B68" s="53">
        <v>564</v>
      </c>
    </row>
    <row r="69" spans="1:2" ht="12.75" customHeight="1" x14ac:dyDescent="0.25"/>
    <row r="70" spans="1:2" ht="12.75" customHeight="1" x14ac:dyDescent="0.25"/>
    <row r="71" spans="1:2" ht="12.75" customHeight="1" x14ac:dyDescent="0.25"/>
    <row r="72" spans="1:2" ht="12.75" customHeight="1" x14ac:dyDescent="0.25"/>
    <row r="73" spans="1:2" ht="12.75" customHeight="1" x14ac:dyDescent="0.25"/>
    <row r="74" spans="1:2" ht="12.75" customHeight="1" x14ac:dyDescent="0.25"/>
    <row r="75" spans="1:2" ht="12.75" customHeight="1" x14ac:dyDescent="0.25"/>
    <row r="76" spans="1:2" ht="12.75" customHeight="1" x14ac:dyDescent="0.25"/>
    <row r="77" spans="1:2" ht="12.75" customHeight="1" x14ac:dyDescent="0.25"/>
    <row r="78" spans="1:2" ht="12.75" customHeight="1" x14ac:dyDescent="0.25"/>
    <row r="79" spans="1:2" ht="12.75" customHeight="1" x14ac:dyDescent="0.25"/>
    <row r="80" spans="1: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511811024" right="0.511811024"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00"/>
  <sheetViews>
    <sheetView workbookViewId="0"/>
  </sheetViews>
  <sheetFormatPr defaultColWidth="12.6640625" defaultRowHeight="15" customHeight="1" x14ac:dyDescent="0.25"/>
  <cols>
    <col min="1" max="26" width="8.6640625" customWidth="1"/>
  </cols>
  <sheetData>
    <row r="1" ht="12.75" customHeight="1" x14ac:dyDescent="0.25"/>
    <row r="2" ht="12.75" customHeight="1" x14ac:dyDescent="0.25"/>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12.75" customHeight="1" x14ac:dyDescent="0.25"/>
    <row r="11" ht="12.75" customHeight="1" x14ac:dyDescent="0.25"/>
    <row r="12" ht="12.75" customHeight="1" x14ac:dyDescent="0.25"/>
    <row r="13" ht="12.75" customHeight="1" x14ac:dyDescent="0.25"/>
    <row r="14" ht="12.75" customHeight="1" x14ac:dyDescent="0.25"/>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511811024" right="0.511811024" top="0.78740157499999996" bottom="0.78740157499999996"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Metodologia</vt:lpstr>
      <vt:lpstr>Dimensões e Componentes 2024</vt:lpstr>
      <vt:lpstr>Indicadores - 2024</vt:lpstr>
      <vt:lpstr>Plan1</vt:lpstr>
      <vt:lpstr>ESRI_MAPINFO_SHEET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BRZ Advogados </cp:lastModifiedBy>
  <dcterms:modified xsi:type="dcterms:W3CDTF">2026-09-07T16:08:33Z</dcterms:modified>
</cp:coreProperties>
</file>